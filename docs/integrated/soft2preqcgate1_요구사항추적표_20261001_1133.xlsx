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문서표지" sheetId="1" state="visible" r:id="rId1"/>
    <sheet xmlns:r="http://schemas.openxmlformats.org/officeDocument/2006/relationships" name="개정이력" sheetId="2" state="visible" r:id="rId2"/>
    <sheet xmlns:r="http://schemas.openxmlformats.org/officeDocument/2006/relationships" name="요구사항 추적표" sheetId="3" state="visible" r:id="rId3"/>
    <sheet xmlns:r="http://schemas.openxmlformats.org/officeDocument/2006/relationships" name="잠정 ID 목록" sheetId="4" state="visible" r:id="rId4"/>
    <sheet xmlns:r="http://schemas.openxmlformats.org/officeDocument/2006/relationships" name="추적 점검" sheetId="5" state="visible" r:id="rId5"/>
    <sheet xmlns:r="http://schemas.openxmlformats.org/officeDocument/2006/relationships" name="작성가이드" sheetId="6" state="visible" r:id="rId6"/>
  </sheets>
  <definedNames>
    <definedName name="_xlnm.Print_Area" localSheetId="0">'문서표지'!$A$1:$T$37</definedName>
    <definedName name="_xlnm.Print_Area" localSheetId="1">'개정이력'!$A$1:$E$27</definedName>
    <definedName name="_xlnm._FilterDatabase" localSheetId="2" hidden="1">'요구사항 추적표'!$A$4:$Z$57</definedName>
    <definedName name="_xlnm.Print_Titles" localSheetId="2">'요구사항 추적표'!$3:$4</definedName>
    <definedName name="_xlnm.Print_Area" localSheetId="5">'작성가이드'!$A$1:$F$21</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17">
    <font>
      <name val="Calibri"/>
      <family val="2"/>
      <color theme="1"/>
      <sz val="11"/>
      <scheme val="minor"/>
    </font>
    <font>
      <name val="맑은 고딕"/>
      <b val="1"/>
      <sz val="28"/>
    </font>
    <font>
      <name val="맑은 고딕"/>
      <b val="1"/>
      <sz val="12"/>
    </font>
    <font>
      <name val="맑은 고딕"/>
      <b val="1"/>
      <sz val="14"/>
    </font>
    <font>
      <name val="나눔바른고딕"/>
      <color rgb="00404040"/>
      <sz val="8"/>
    </font>
    <font>
      <name val="맑은 고딕"/>
      <color rgb="007F7F7F"/>
      <sz val="9"/>
    </font>
    <font>
      <name val="맑은 고딕"/>
      <b val="1"/>
      <color rgb="00000000"/>
      <sz val="16"/>
    </font>
    <font>
      <name val="맑은 고딕"/>
      <b val="1"/>
      <color rgb="00000000"/>
      <sz val="10"/>
    </font>
    <font>
      <name val="맑은 고딕"/>
      <color rgb="00000000"/>
      <sz val="10"/>
    </font>
    <font>
      <name val="맑은 고딕"/>
      <color rgb="00000000"/>
      <sz val="11"/>
    </font>
    <font>
      <name val="맑은 고딕"/>
      <b val="1"/>
      <color rgb="00000000"/>
      <sz val="11"/>
    </font>
    <font>
      <name val="맑은 고딕"/>
      <b val="1"/>
      <color rgb="00000000"/>
      <sz val="12"/>
    </font>
    <font>
      <name val="맑은 고딕"/>
      <color rgb="00000000"/>
      <sz val="9"/>
    </font>
    <font>
      <name val="맑은 고딕"/>
      <color rgb="00595959"/>
      <sz val="9"/>
    </font>
    <font>
      <name val="맑은 고딕"/>
      <b val="1"/>
      <sz val="11"/>
    </font>
    <font>
      <name val="맑은 고딕"/>
      <b val="1"/>
      <sz val="10"/>
    </font>
    <font>
      <name val="맑은 고딕"/>
      <sz val="10"/>
    </font>
  </fonts>
  <fills count="6">
    <fill>
      <patternFill/>
    </fill>
    <fill>
      <patternFill patternType="gray125"/>
    </fill>
    <fill>
      <patternFill patternType="solid">
        <fgColor rgb="00D9D9D9"/>
      </patternFill>
    </fill>
    <fill>
      <patternFill patternType="solid">
        <fgColor rgb="00DDEBF7"/>
      </patternFill>
    </fill>
    <fill>
      <patternFill patternType="solid">
        <fgColor rgb="00E2EFDA"/>
      </patternFill>
    </fill>
    <fill>
      <patternFill patternType="solid">
        <fgColor rgb="00FCE4D6"/>
      </patternFill>
    </fill>
  </fills>
  <borders count="8">
    <border>
      <left/>
      <right/>
      <top/>
      <bottom/>
      <diagonal/>
    </border>
    <border>
      <bottom style="thick">
        <color rgb="00000000"/>
      </bottom>
    </border>
    <border>
      <left style="thin">
        <color rgb="00808080"/>
      </left>
      <right style="thin">
        <color rgb="00808080"/>
      </right>
      <top style="thin">
        <color rgb="00808080"/>
      </top>
      <bottom style="thin">
        <color rgb="00808080"/>
      </bottom>
    </border>
    <border>
      <bottom style="medium">
        <color rgb="00404040"/>
      </bottom>
    </border>
    <border>
      <left/>
      <right/>
      <top style="thin">
        <color rgb="00808080"/>
      </top>
      <bottom/>
      <diagonal/>
    </border>
    <border>
      <left/>
      <right style="thin">
        <color rgb="00808080"/>
      </right>
      <top style="thin">
        <color rgb="00808080"/>
      </top>
      <bottom/>
      <diagonal/>
    </border>
    <border>
      <left/>
      <right/>
      <top style="thin">
        <color rgb="00808080"/>
      </top>
      <bottom style="thin">
        <color rgb="00808080"/>
      </bottom>
      <diagonal/>
    </border>
    <border>
      <left/>
      <right style="thin">
        <color rgb="00808080"/>
      </right>
      <top style="thin">
        <color rgb="00808080"/>
      </top>
      <bottom style="thin">
        <color rgb="00808080"/>
      </bottom>
      <diagonal/>
    </border>
  </borders>
  <cellStyleXfs count="1">
    <xf numFmtId="0" fontId="0" fillId="0" borderId="0"/>
  </cellStyleXfs>
  <cellXfs count="48">
    <xf numFmtId="0" fontId="0" fillId="0" borderId="0" pivotButton="0" quotePrefix="0" xfId="0"/>
    <xf numFmtId="0" fontId="0" fillId="0" borderId="1" pivotButton="0" quotePrefix="0" xfId="0"/>
    <xf numFmtId="0" fontId="1" fillId="0" borderId="1" applyAlignment="1" pivotButton="0" quotePrefix="0" xfId="0">
      <alignment horizontal="right" vertical="top"/>
    </xf>
    <xf numFmtId="0" fontId="2" fillId="0" borderId="0" applyAlignment="1" pivotButton="0" quotePrefix="0" xfId="0">
      <alignment horizontal="right"/>
    </xf>
    <xf numFmtId="0" fontId="3" fillId="0" borderId="0" applyAlignment="1" pivotButton="0" quotePrefix="0" xfId="0">
      <alignment horizontal="right" vertical="top"/>
    </xf>
    <xf numFmtId="0" fontId="4" fillId="0" borderId="0" applyAlignment="1" pivotButton="0" quotePrefix="0" xfId="0">
      <alignment horizontal="left" vertical="bottom"/>
    </xf>
    <xf numFmtId="0" fontId="5" fillId="0" borderId="0" applyAlignment="1" pivotButton="0" quotePrefix="0" xfId="0">
      <alignment horizontal="right" vertical="center" wrapText="1"/>
    </xf>
    <xf numFmtId="0" fontId="6" fillId="0" borderId="0" applyAlignment="1" pivotButton="0" quotePrefix="0" xfId="0">
      <alignment horizontal="center" vertical="center" wrapText="1"/>
    </xf>
    <xf numFmtId="0" fontId="7" fillId="2" borderId="2" applyAlignment="1" pivotButton="0" quotePrefix="0" xfId="0">
      <alignment horizontal="center" vertical="center" wrapText="1"/>
    </xf>
    <xf numFmtId="0" fontId="8" fillId="0" borderId="2" applyAlignment="1" pivotButton="0" quotePrefix="0" xfId="0">
      <alignment horizontal="center" vertical="center" wrapText="1"/>
    </xf>
    <xf numFmtId="0" fontId="8" fillId="0" borderId="2" applyAlignment="1" pivotButton="0" quotePrefix="0" xfId="0">
      <alignment horizontal="left" vertical="center" wrapText="1"/>
    </xf>
    <xf numFmtId="0" fontId="5" fillId="0" borderId="0" applyAlignment="1" pivotButton="0" quotePrefix="0" xfId="0">
      <alignment horizontal="left" vertical="center" wrapText="1"/>
    </xf>
    <xf numFmtId="0" fontId="9" fillId="0" borderId="3" applyAlignment="1" pivotButton="0" quotePrefix="0" xfId="0">
      <alignment horizontal="left" vertical="center"/>
    </xf>
    <xf numFmtId="0" fontId="0" fillId="0" borderId="3" pivotButton="0" quotePrefix="0" xfId="0"/>
    <xf numFmtId="0" fontId="9" fillId="0" borderId="3" applyAlignment="1" pivotButton="0" quotePrefix="0" xfId="0">
      <alignment horizontal="right" vertical="center"/>
    </xf>
    <xf numFmtId="0" fontId="10" fillId="2" borderId="2" applyAlignment="1" pivotButton="0" quotePrefix="0" xfId="0">
      <alignment horizontal="center" vertical="center" wrapText="1"/>
    </xf>
    <xf numFmtId="0" fontId="0" fillId="2" borderId="2" pivotButton="0" quotePrefix="0" xfId="0"/>
    <xf numFmtId="0" fontId="10" fillId="3" borderId="2" applyAlignment="1" pivotButton="0" quotePrefix="0" xfId="0">
      <alignment horizontal="center" vertical="center" wrapText="1"/>
    </xf>
    <xf numFmtId="0" fontId="0" fillId="3" borderId="2" pivotButton="0" quotePrefix="0" xfId="0"/>
    <xf numFmtId="0" fontId="10" fillId="4" borderId="2" applyAlignment="1" pivotButton="0" quotePrefix="0" xfId="0">
      <alignment horizontal="center" vertical="center" wrapText="1"/>
    </xf>
    <xf numFmtId="0" fontId="0" fillId="4" borderId="2" pivotButton="0" quotePrefix="0" xfId="0"/>
    <xf numFmtId="0" fontId="10" fillId="5" borderId="2" applyAlignment="1" pivotButton="0" quotePrefix="0" xfId="0">
      <alignment horizontal="center" vertical="center" wrapText="1"/>
    </xf>
    <xf numFmtId="0" fontId="0" fillId="5" borderId="2" pivotButton="0" quotePrefix="0" xfId="0"/>
    <xf numFmtId="0" fontId="7" fillId="3" borderId="2" applyAlignment="1" pivotButton="0" quotePrefix="0" xfId="0">
      <alignment horizontal="center" vertical="center" wrapText="1"/>
    </xf>
    <xf numFmtId="0" fontId="7" fillId="4" borderId="2" applyAlignment="1" pivotButton="0" quotePrefix="0" xfId="0">
      <alignment horizontal="center" vertical="center" wrapText="1"/>
    </xf>
    <xf numFmtId="0" fontId="7" fillId="5" borderId="2" applyAlignment="1" pivotButton="0" quotePrefix="0" xfId="0">
      <alignment horizontal="center" vertical="center" wrapText="1"/>
    </xf>
    <xf numFmtId="0" fontId="8" fillId="0" borderId="2" applyAlignment="1" pivotButton="0" quotePrefix="0" xfId="0">
      <alignment horizontal="center" vertical="top" wrapText="1"/>
    </xf>
    <xf numFmtId="0" fontId="8" fillId="0" borderId="2" applyAlignment="1" pivotButton="0" quotePrefix="0" xfId="0">
      <alignment horizontal="left" vertical="top" wrapText="1"/>
    </xf>
    <xf numFmtId="0" fontId="11" fillId="0" borderId="0" applyAlignment="1" pivotButton="0" quotePrefix="0" xfId="0">
      <alignment horizontal="left" vertical="center" wrapText="1"/>
    </xf>
    <xf numFmtId="0" fontId="7" fillId="0" borderId="2" applyAlignment="1" pivotButton="0" quotePrefix="0" xfId="0">
      <alignment horizontal="left" vertical="center" wrapText="1"/>
    </xf>
    <xf numFmtId="0" fontId="12" fillId="0" borderId="0" applyAlignment="1" pivotButton="0" quotePrefix="0" xfId="0">
      <alignment horizontal="left" vertical="top" wrapText="1"/>
    </xf>
    <xf numFmtId="165" fontId="2" fillId="0" borderId="0" applyAlignment="1" pivotButton="0" quotePrefix="0" xfId="0">
      <alignment horizontal="right"/>
    </xf>
    <xf numFmtId="165" fontId="8" fillId="0" borderId="2" applyAlignment="1" pivotButton="0" quotePrefix="0" xfId="0">
      <alignment horizontal="center" vertical="center" wrapText="1"/>
    </xf>
    <xf numFmtId="0" fontId="8" fillId="0" borderId="2" applyAlignment="1" pivotButton="0" quotePrefix="0" xfId="0">
      <alignment vertical="top" wrapText="1"/>
    </xf>
    <xf numFmtId="0" fontId="0" fillId="0" borderId="6" pivotButton="0" quotePrefix="0" xfId="0"/>
    <xf numFmtId="0" fontId="0" fillId="0" borderId="7" pivotButton="0" quotePrefix="0" xfId="0"/>
    <xf numFmtId="0" fontId="13" fillId="0" borderId="0" applyAlignment="1" pivotButton="0" quotePrefix="0" xfId="0">
      <alignment vertical="top" wrapText="1"/>
    </xf>
    <xf numFmtId="0" fontId="3" fillId="0" borderId="0" pivotButton="0" quotePrefix="0" xfId="0"/>
    <xf numFmtId="0" fontId="13" fillId="0" borderId="0" pivotButton="0" quotePrefix="0" xfId="0"/>
    <xf numFmtId="0" fontId="14" fillId="0" borderId="0" pivotButton="0" quotePrefix="0" xfId="0"/>
    <xf numFmtId="0" fontId="15" fillId="2" borderId="2" applyAlignment="1" pivotButton="0" quotePrefix="0" xfId="0">
      <alignment horizontal="center" vertical="center" wrapText="1"/>
    </xf>
    <xf numFmtId="0" fontId="16" fillId="0" borderId="2" applyAlignment="1" pivotButton="0" quotePrefix="0" xfId="0">
      <alignment horizontal="left" vertical="center" wrapText="1"/>
    </xf>
    <xf numFmtId="0" fontId="16" fillId="0" borderId="2" applyAlignment="1" pivotButton="0" quotePrefix="0" xfId="0">
      <alignment horizontal="center"/>
    </xf>
    <xf numFmtId="0" fontId="16" fillId="0" borderId="2" applyAlignment="1" pivotButton="0" quotePrefix="0" xfId="0">
      <alignment horizontal="center" vertical="center"/>
    </xf>
    <xf numFmtId="0" fontId="15" fillId="0" borderId="2" pivotButton="0" quotePrefix="0" xfId="0"/>
    <xf numFmtId="0" fontId="15" fillId="0" borderId="2" applyAlignment="1" pivotButton="0" quotePrefix="0" xfId="0">
      <alignment horizontal="center" vertical="center"/>
    </xf>
    <xf numFmtId="0" fontId="0" fillId="0" borderId="2" pivotButton="0" quotePrefix="0" xfId="0"/>
    <xf numFmtId="0" fontId="16" fillId="0"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16</col>
      <colOff>0</colOff>
      <row>29</row>
      <rowOff>0</rowOff>
    </from>
    <ext cx="19716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3:S36"/>
  <sheetViews>
    <sheetView showGridLines="0" workbookViewId="0">
      <selection activeCell="A1" sqref="A1"/>
    </sheetView>
  </sheetViews>
  <sheetFormatPr baseColWidth="8" defaultRowHeight="15"/>
  <cols>
    <col width="8.8984375" customWidth="1" min="1" max="1"/>
    <col width="8.8984375" customWidth="1" min="2" max="2"/>
    <col width="8.8984375" customWidth="1" min="3" max="3"/>
    <col width="8.8984375" customWidth="1" min="4" max="4"/>
    <col width="8.8984375" customWidth="1" min="5" max="5"/>
    <col width="8.8984375" customWidth="1" min="6" max="6"/>
    <col width="8.8984375" customWidth="1" min="7" max="7"/>
    <col width="8.8984375" customWidth="1" min="8" max="8"/>
    <col width="8.8984375" customWidth="1" min="9" max="9"/>
    <col width="8.8984375" customWidth="1" min="10" max="10"/>
    <col width="8.8984375" customWidth="1" min="11" max="11"/>
    <col width="8.8984375" customWidth="1" min="12" max="12"/>
    <col width="8.8984375" customWidth="1" min="13" max="13"/>
    <col width="8.8984375" customWidth="1" min="14" max="14"/>
    <col width="8.8984375" customWidth="1" min="15" max="15"/>
    <col width="8.8984375" customWidth="1" min="16" max="16"/>
    <col width="8.8984375" customWidth="1" min="17" max="17"/>
    <col width="8.8984375" customWidth="1" min="18" max="18"/>
    <col width="8.8984375" customWidth="1" min="19" max="19"/>
    <col width="8.8984375" customWidth="1" min="20" max="20"/>
  </cols>
  <sheetData>
    <row r="1" ht="30" customHeight="1"/>
    <row r="2" ht="30" customHeight="1"/>
    <row r="3" ht="40.2" customHeight="1">
      <c r="B3" s="1" t="n"/>
      <c r="C3" s="1" t="n"/>
      <c r="D3" s="1" t="n"/>
      <c r="E3" s="1" t="n"/>
      <c r="F3" s="1" t="n"/>
      <c r="G3" s="1" t="n"/>
      <c r="H3" s="1" t="n"/>
      <c r="I3" s="1" t="n"/>
      <c r="J3" s="1" t="n"/>
      <c r="K3" s="1" t="n"/>
      <c r="L3" s="1" t="n"/>
      <c r="M3" s="1" t="n"/>
      <c r="N3" s="1" t="n"/>
      <c r="O3" s="1" t="n"/>
      <c r="P3" s="1" t="n"/>
      <c r="Q3" s="1" t="n"/>
      <c r="R3" s="1" t="n"/>
      <c r="S3" s="2" t="inlineStr">
        <is>
          <t>요구사항 추적표</t>
        </is>
      </c>
    </row>
    <row r="4" ht="30" customHeight="1"/>
    <row r="5" ht="19.2" customHeight="1"/>
    <row r="6" ht="30" customHeight="1"/>
    <row r="7" ht="30" customHeight="1"/>
    <row r="8" ht="19.2" customHeight="1">
      <c r="S8" s="3" t="inlineStr">
        <is>
          <t>Ver. 0.3 (검토본)</t>
        </is>
      </c>
    </row>
    <row r="9" ht="19.2" customHeight="1"/>
    <row r="10" ht="19.2" customHeight="1"/>
    <row r="11" ht="19.2" customHeight="1">
      <c r="S11" s="3" t="inlineStr">
        <is>
          <t>soft2preqcgate1 / 통합(화면·서버)</t>
        </is>
      </c>
    </row>
    <row r="12" ht="19.2" customHeight="1">
      <c r="S12" s="3" t="inlineStr">
        <is>
          <t>예방 품질 관리 시스템(Pre QC Gate)</t>
        </is>
      </c>
    </row>
    <row r="13" ht="19.2" customHeight="1">
      <c r="S13" s="31" t="n">
        <v>46296</v>
      </c>
    </row>
    <row r="14" ht="19.2" customHeight="1"/>
    <row r="15" ht="21" customHeight="1">
      <c r="S15" s="4" t="inlineStr">
        <is>
          <t>관리부서 : 업무 담당부서 확인 필요</t>
        </is>
      </c>
    </row>
    <row r="16" ht="19.2" customHeight="1"/>
    <row r="17" ht="21" customHeight="1"/>
    <row r="18" ht="20.4" customHeight="1"/>
    <row r="19" ht="20.4" customHeight="1"/>
    <row r="20" ht="20.4" customHeight="1"/>
    <row r="21" ht="20.4" customHeight="1"/>
    <row r="22" ht="20.4" customHeight="1"/>
    <row r="23" ht="20.4" customHeight="1"/>
    <row r="24" ht="20.4" customHeight="1"/>
    <row r="25" ht="20.4" customHeight="1"/>
    <row r="26" ht="20.4" customHeight="1"/>
    <row r="27" ht="20.4" customHeight="1"/>
    <row r="28" ht="20.4" customHeight="1"/>
    <row r="29" ht="20.4" customHeight="1"/>
    <row r="30" ht="20.4" customHeight="1"/>
    <row r="31" ht="15" customHeight="1"/>
    <row r="32" ht="20.4" customHeight="1"/>
    <row r="33" ht="20.4" customHeight="1"/>
    <row r="34" ht="20.4" customHeight="1"/>
    <row r="35" ht="20.4" customHeight="1"/>
    <row r="36" ht="20.4" customHeight="1">
      <c r="I36" s="5" t="inlineStr">
        <is>
          <t>Copyright 2026. Hanwha Ocean Co., Ltd. All rights reserved.  |  Confidential</t>
        </is>
      </c>
    </row>
    <row r="37" ht="20.4" customHeight="1"/>
  </sheetData>
  <pageMargins left="0.75" right="0.75" top="1" bottom="1" header="0.5" footer="0.5"/>
  <pageSetup orientation="landscape" paperSize="9" scale="60"/>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E27"/>
  <sheetViews>
    <sheetView showGridLines="0" workbookViewId="0">
      <selection activeCell="A1" sqref="A1"/>
    </sheetView>
  </sheetViews>
  <sheetFormatPr baseColWidth="8" defaultRowHeight="15"/>
  <cols>
    <col width="6.4" customWidth="1" min="1" max="1"/>
    <col width="12.1" customWidth="1" min="2" max="2"/>
    <col width="72" customWidth="1" min="3" max="3"/>
    <col width="16.6" customWidth="1" min="4" max="4"/>
    <col width="14.4" customWidth="1" min="5" max="5"/>
  </cols>
  <sheetData>
    <row r="1">
      <c r="E1" s="6" t="inlineStr">
        <is>
          <t>요구사항 추적표</t>
        </is>
      </c>
    </row>
    <row r="4" ht="26" customHeight="1">
      <c r="A4" s="7" t="inlineStr">
        <is>
          <t>개 정 이 력</t>
        </is>
      </c>
    </row>
    <row r="6" ht="22" customHeight="1">
      <c r="A6" s="8" t="inlineStr">
        <is>
          <t>버전</t>
        </is>
      </c>
      <c r="B6" s="8" t="inlineStr">
        <is>
          <t>변경일</t>
        </is>
      </c>
      <c r="C6" s="8" t="inlineStr">
        <is>
          <t>변경 내용</t>
        </is>
      </c>
      <c r="D6" s="8" t="inlineStr">
        <is>
          <t>작성자</t>
        </is>
      </c>
      <c r="E6" s="8" t="inlineStr">
        <is>
          <t>승인자</t>
        </is>
      </c>
    </row>
    <row r="7" ht="95" customHeight="1">
      <c r="A7" s="9" t="inlineStr">
        <is>
          <t>v0.1</t>
        </is>
      </c>
      <c r="B7" s="32" t="n">
        <v>46295</v>
      </c>
      <c r="C7" s="33" t="inlineStr">
        <is>
          <t>최초 작성(분석 단계). 프런트엔드 요구사항 정의서 v0.4의 48건을 추적. 프로세스ID·화면ID 잠정 부여, 인터페이스·배치·테이블 "미정", 테스트 "미작성". 추가 열과 잠정 ID 목록·추적 점검 시트 추가.</t>
        </is>
      </c>
      <c r="D7" s="10" t="inlineStr">
        <is>
          <t>분석 담당</t>
        </is>
      </c>
      <c r="E7" s="10" t="inlineStr">
        <is>
          <t>미승인</t>
        </is>
      </c>
    </row>
    <row r="8" ht="95" customHeight="1">
      <c r="A8" s="9" t="inlineStr">
        <is>
          <t>v0.2</t>
        </is>
      </c>
      <c r="B8" s="32" t="n">
        <v>46296</v>
      </c>
      <c r="C8" s="33" t="inlineStr">
        <is>
          <t>프런트엔드 요구사항 정의서 v0.5에 맞춰 소분류를 기능 단위 값으로 변경(48건).</t>
        </is>
      </c>
      <c r="D8" s="10" t="inlineStr">
        <is>
          <t>분석 담당</t>
        </is>
      </c>
      <c r="E8" s="10" t="inlineStr">
        <is>
          <t>미승인</t>
        </is>
      </c>
    </row>
    <row r="9" ht="95" customHeight="1">
      <c r="A9" s="9" t="inlineStr">
        <is>
          <t>v0.3</t>
        </is>
      </c>
      <c r="B9" s="32" t="n">
        <v>46296</v>
      </c>
      <c r="C9" s="33" t="inlineStr">
        <is>
          <t>프런트엔드·백엔드 통합. 통합 요구사항 정의서 v0.6(soft2preqcgate1_요구사항정의서_20261001_1133.xlsx) 53건(RQ-) 기준으로 재작성. 백엔드 원천 31건 반영(서버 전용 5건은 잠정 프로세스 PRC-PQG-150 신설 포함 추적 보강). 결정번호를 통합 번호 DEC-01~DEC-24로 변경. 추가 열을 U~Z(화면 논리 개체, 서버 논리 개체, 통합 결정번호, 확정 여부, 구현 영역, 기존 요구사항ID)로 재편. 추적 점검 시트에 백엔드 개체 26건 역추적 추가.</t>
        </is>
      </c>
      <c r="D9" s="10" t="inlineStr">
        <is>
          <t>분석 담당</t>
        </is>
      </c>
      <c r="E9" s="10" t="inlineStr">
        <is>
          <t>미승인</t>
        </is>
      </c>
    </row>
    <row r="10">
      <c r="A10" s="10" t="n"/>
      <c r="B10" s="10" t="n"/>
      <c r="C10" s="10" t="n"/>
      <c r="D10" s="10" t="n"/>
      <c r="E10" s="10" t="n"/>
    </row>
    <row r="11">
      <c r="A11" s="10" t="n"/>
      <c r="B11" s="10" t="n"/>
      <c r="C11" s="10" t="n"/>
      <c r="D11" s="10" t="n"/>
      <c r="E11" s="10" t="n"/>
    </row>
    <row r="12">
      <c r="A12" s="10" t="n"/>
      <c r="B12" s="10" t="n"/>
      <c r="C12" s="10" t="n"/>
      <c r="D12" s="10" t="n"/>
      <c r="E12" s="10" t="n"/>
    </row>
    <row r="13">
      <c r="A13" s="10" t="n"/>
      <c r="B13" s="10" t="n"/>
      <c r="C13" s="10" t="n"/>
      <c r="D13" s="10" t="n"/>
      <c r="E13" s="10" t="n"/>
    </row>
    <row r="14">
      <c r="A14" s="10" t="n"/>
      <c r="B14" s="10" t="n"/>
      <c r="C14" s="10" t="n"/>
      <c r="D14" s="10" t="n"/>
      <c r="E14" s="10" t="n"/>
    </row>
    <row r="15">
      <c r="A15" s="10" t="n"/>
      <c r="B15" s="10" t="n"/>
      <c r="C15" s="10" t="n"/>
      <c r="D15" s="10" t="n"/>
      <c r="E15" s="10" t="n"/>
    </row>
    <row r="16">
      <c r="A16" s="10" t="n"/>
      <c r="B16" s="10" t="n"/>
      <c r="C16" s="10" t="n"/>
      <c r="D16" s="10" t="n"/>
      <c r="E16" s="10" t="n"/>
    </row>
    <row r="17">
      <c r="A17" s="10" t="n"/>
      <c r="B17" s="10" t="n"/>
      <c r="C17" s="10" t="n"/>
      <c r="D17" s="10" t="n"/>
      <c r="E17" s="10" t="n"/>
    </row>
    <row r="18">
      <c r="A18" s="10" t="n"/>
      <c r="B18" s="10" t="n"/>
      <c r="C18" s="10" t="n"/>
      <c r="D18" s="10" t="n"/>
      <c r="E18" s="10" t="n"/>
    </row>
    <row r="19">
      <c r="A19" s="10" t="n"/>
      <c r="B19" s="10" t="n"/>
      <c r="C19" s="10" t="n"/>
      <c r="D19" s="10" t="n"/>
      <c r="E19" s="10" t="n"/>
    </row>
    <row r="20">
      <c r="A20" s="10" t="n"/>
      <c r="B20" s="10" t="n"/>
      <c r="C20" s="10" t="n"/>
      <c r="D20" s="10" t="n"/>
      <c r="E20" s="10" t="n"/>
    </row>
    <row r="21">
      <c r="A21" s="10" t="n"/>
      <c r="B21" s="10" t="n"/>
      <c r="C21" s="10" t="n"/>
      <c r="D21" s="10" t="n"/>
      <c r="E21" s="10" t="n"/>
    </row>
    <row r="22">
      <c r="A22" s="10" t="n"/>
      <c r="B22" s="10" t="n"/>
      <c r="C22" s="10" t="n"/>
      <c r="D22" s="10" t="n"/>
      <c r="E22" s="10" t="n"/>
    </row>
    <row r="23">
      <c r="A23" s="10" t="n"/>
      <c r="B23" s="10" t="n"/>
      <c r="C23" s="10" t="n"/>
      <c r="D23" s="10" t="n"/>
      <c r="E23" s="10" t="n"/>
    </row>
    <row r="24">
      <c r="A24" s="10" t="n"/>
      <c r="B24" s="10" t="n"/>
      <c r="C24" s="10" t="n"/>
      <c r="D24" s="10" t="n"/>
      <c r="E24" s="10" t="n"/>
    </row>
    <row r="25">
      <c r="A25" s="10" t="n"/>
      <c r="B25" s="10" t="n"/>
      <c r="C25" s="10" t="n"/>
      <c r="D25" s="10" t="n"/>
      <c r="E25" s="10" t="n"/>
    </row>
    <row r="27">
      <c r="A27" s="11" t="inlineStr">
        <is>
          <t>※ 승인 전 작업본은 v0.x, 승인 후 확정본은 v1.0 이상으로 부여한다. 변경 내용에는 변경 위치(시트·행 / 장·절)와 변경 사유를 함께 기재한다.</t>
        </is>
      </c>
    </row>
  </sheetData>
  <mergeCells count="2">
    <mergeCell ref="A4:E4"/>
    <mergeCell ref="A27:E27"/>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Z59"/>
  <sheetViews>
    <sheetView showGridLines="0" workbookViewId="0">
      <pane xSplit="6" ySplit="4" topLeftCell="G5"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6" customWidth="1" min="1" max="1"/>
    <col width="14" customWidth="1" min="2" max="2"/>
    <col width="14" customWidth="1" min="3" max="3"/>
    <col width="14" customWidth="1" min="4" max="4"/>
    <col width="16" customWidth="1" min="5" max="5"/>
    <col width="30" customWidth="1" min="6" max="6"/>
    <col width="10" customWidth="1" min="7" max="7"/>
    <col width="16" customWidth="1" min="8" max="8"/>
    <col width="22" customWidth="1" min="9" max="9"/>
    <col width="16" customWidth="1" min="10" max="10"/>
    <col width="28" customWidth="1" min="11" max="11"/>
    <col width="18" customWidth="1" min="12" max="12"/>
    <col width="26" customWidth="1" min="13" max="13"/>
    <col width="16" customWidth="1" min="14" max="14"/>
    <col width="32" customWidth="1" min="15" max="15"/>
    <col width="16" customWidth="1" min="16" max="16"/>
    <col width="18" customWidth="1" min="17" max="17"/>
    <col width="24" customWidth="1" min="18" max="18"/>
    <col width="18" customWidth="1" min="19" max="19"/>
    <col width="24" customWidth="1" min="20" max="20"/>
    <col width="30" customWidth="1" min="21" max="21"/>
    <col width="34" customWidth="1" min="22" max="22"/>
    <col width="16" customWidth="1" min="23" max="23"/>
    <col width="22" customWidth="1" min="24" max="24"/>
    <col width="11" customWidth="1" min="25" max="25"/>
    <col width="15" customWidth="1" min="26" max="26"/>
  </cols>
  <sheetData>
    <row r="1" ht="22" customHeight="1">
      <c r="A1" s="12" t="inlineStr">
        <is>
          <t>soft2preqcgate1</t>
        </is>
      </c>
      <c r="B1" s="13" t="n"/>
      <c r="C1" s="13" t="n"/>
      <c r="D1" s="13" t="n"/>
      <c r="E1" s="13" t="n"/>
      <c r="F1" s="13" t="n"/>
      <c r="G1" s="13" t="n"/>
      <c r="H1" s="13" t="n"/>
      <c r="I1" s="13" t="n"/>
      <c r="J1" s="13" t="n"/>
      <c r="K1" s="13" t="n"/>
      <c r="L1" s="13" t="n"/>
      <c r="M1" s="13" t="n"/>
      <c r="N1" s="13" t="n"/>
      <c r="O1" s="13" t="n"/>
      <c r="P1" s="13" t="n"/>
      <c r="Q1" s="13" t="n"/>
      <c r="R1" s="13" t="n"/>
      <c r="S1" s="13" t="n"/>
      <c r="T1" s="14" t="inlineStr">
        <is>
          <t>요구사항추적표</t>
        </is>
      </c>
    </row>
    <row r="2" ht="8" customHeight="1"/>
    <row r="3" ht="24" customHeight="1">
      <c r="A3" s="15" t="inlineStr">
        <is>
          <t>요 구 사 항</t>
        </is>
      </c>
      <c r="B3" s="34" t="n"/>
      <c r="C3" s="34" t="n"/>
      <c r="D3" s="34" t="n"/>
      <c r="E3" s="34" t="n"/>
      <c r="F3" s="34" t="n"/>
      <c r="G3" s="34" t="n"/>
      <c r="H3" s="34" t="n"/>
      <c r="I3" s="35" t="n"/>
      <c r="J3" s="17" t="inlineStr">
        <is>
          <t>설 계</t>
        </is>
      </c>
      <c r="K3" s="34" t="n"/>
      <c r="L3" s="34" t="n"/>
      <c r="M3" s="34" t="n"/>
      <c r="N3" s="34" t="n"/>
      <c r="O3" s="34" t="n"/>
      <c r="P3" s="35" t="n"/>
      <c r="Q3" s="19" t="inlineStr">
        <is>
          <t>개 발</t>
        </is>
      </c>
      <c r="R3" s="35" t="n"/>
      <c r="S3" s="21" t="inlineStr">
        <is>
          <t>테 스 트</t>
        </is>
      </c>
      <c r="T3" s="35" t="n"/>
      <c r="U3" s="15" t="inlineStr">
        <is>
          <t>추 적 보 조</t>
        </is>
      </c>
      <c r="V3" s="34" t="n"/>
      <c r="W3" s="34" t="n"/>
      <c r="X3" s="34" t="n"/>
      <c r="Y3" s="34" t="n"/>
      <c r="Z3" s="35" t="n"/>
    </row>
    <row r="4" ht="32" customHeight="1">
      <c r="A4" s="8" t="inlineStr">
        <is>
          <t>No</t>
        </is>
      </c>
      <c r="B4" s="8" t="inlineStr">
        <is>
          <t>대분류</t>
        </is>
      </c>
      <c r="C4" s="8" t="inlineStr">
        <is>
          <t>중분류</t>
        </is>
      </c>
      <c r="D4" s="8" t="inlineStr">
        <is>
          <t>소분류</t>
        </is>
      </c>
      <c r="E4" s="8" t="inlineStr">
        <is>
          <t>요구사항ID</t>
        </is>
      </c>
      <c r="F4" s="8" t="inlineStr">
        <is>
          <t>요구사항명</t>
        </is>
      </c>
      <c r="G4" s="8" t="inlineStr">
        <is>
          <t>적용여부</t>
        </is>
      </c>
      <c r="H4" s="8" t="inlineStr">
        <is>
          <t>프로세스ID</t>
        </is>
      </c>
      <c r="I4" s="8" t="inlineStr">
        <is>
          <t>프로세스명</t>
        </is>
      </c>
      <c r="J4" s="23" t="inlineStr">
        <is>
          <t>화면ID</t>
        </is>
      </c>
      <c r="K4" s="23" t="inlineStr">
        <is>
          <t>화면명</t>
        </is>
      </c>
      <c r="L4" s="23" t="inlineStr">
        <is>
          <t>배치프로그램ID</t>
        </is>
      </c>
      <c r="M4" s="23" t="inlineStr">
        <is>
          <t>배치프로그램명</t>
        </is>
      </c>
      <c r="N4" s="23" t="inlineStr">
        <is>
          <t>인터페이스ID</t>
        </is>
      </c>
      <c r="O4" s="23" t="inlineStr">
        <is>
          <t>인터페이스명</t>
        </is>
      </c>
      <c r="P4" s="23" t="inlineStr">
        <is>
          <t>테이블ID</t>
        </is>
      </c>
      <c r="Q4" s="24" t="inlineStr">
        <is>
          <t>단위테스트
케이스ID</t>
        </is>
      </c>
      <c r="R4" s="24" t="inlineStr">
        <is>
          <t>단위테스트
케이스명</t>
        </is>
      </c>
      <c r="S4" s="25" t="inlineStr">
        <is>
          <t>통합테스트
케이스ID</t>
        </is>
      </c>
      <c r="T4" s="25" t="inlineStr">
        <is>
          <t>통합테스트
케이스명</t>
        </is>
      </c>
      <c r="U4" s="8" t="inlineStr">
        <is>
          <t>화면 논리 개체(FE)</t>
        </is>
      </c>
      <c r="V4" s="8" t="inlineStr">
        <is>
          <t>서버 논리 개체(BE)</t>
        </is>
      </c>
      <c r="W4" s="8" t="inlineStr">
        <is>
          <t>통합 결정번호(DEC)</t>
        </is>
      </c>
      <c r="X4" s="8" t="inlineStr">
        <is>
          <t>확정 여부</t>
        </is>
      </c>
      <c r="Y4" s="8" t="inlineStr">
        <is>
          <t>구현 영역</t>
        </is>
      </c>
      <c r="Z4" s="8" t="inlineStr">
        <is>
          <t>기존 요구사항ID</t>
        </is>
      </c>
    </row>
    <row r="5" ht="51.5" customHeight="1">
      <c r="A5" s="26" t="n">
        <v>1</v>
      </c>
      <c r="B5" s="26" t="inlineStr">
        <is>
          <t>예방 품질 관리</t>
        </is>
      </c>
      <c r="C5" s="26" t="inlineStr">
        <is>
          <t>접속·역할</t>
        </is>
      </c>
      <c r="D5" s="26" t="inlineStr">
        <is>
          <t>로그인</t>
        </is>
      </c>
      <c r="E5" s="26" t="inlineStr">
        <is>
          <t>RQ-AUTH-001</t>
        </is>
      </c>
      <c r="F5" s="10" t="inlineStr">
        <is>
          <t>사용자 인증과 역할 결정</t>
        </is>
      </c>
      <c r="G5" s="26" t="inlineStr">
        <is>
          <t>Y</t>
        </is>
      </c>
      <c r="H5" s="26" t="inlineStr">
        <is>
          <t>PRC-PQG-010</t>
        </is>
      </c>
      <c r="I5" s="10" t="inlineStr">
        <is>
          <t>사용자 인증·역할 결정</t>
        </is>
      </c>
      <c r="J5" s="26" t="inlineStr">
        <is>
          <t>PQG-LGN-010-M1</t>
        </is>
      </c>
      <c r="K5" s="10" t="inlineStr">
        <is>
          <t>로그인 화면</t>
        </is>
      </c>
      <c r="L5" s="26" t="inlineStr">
        <is>
          <t>N/A</t>
        </is>
      </c>
      <c r="M5" s="10" t="inlineStr">
        <is>
          <t>N/A</t>
        </is>
      </c>
      <c r="N5" s="26" t="inlineStr">
        <is>
          <t>미정</t>
        </is>
      </c>
      <c r="O5" s="10" t="inlineStr">
        <is>
          <t>사내 인증 연계 - 인증 사용자·역할 수신(후보, DEC-02)</t>
        </is>
      </c>
      <c r="P5" s="26" t="inlineStr">
        <is>
          <t>미정</t>
        </is>
      </c>
      <c r="Q5" s="26" t="inlineStr">
        <is>
          <t>미작성</t>
        </is>
      </c>
      <c r="R5" s="10" t="inlineStr">
        <is>
          <t>개발 단계 작성</t>
        </is>
      </c>
      <c r="S5" s="26" t="inlineStr">
        <is>
          <t>미작성</t>
        </is>
      </c>
      <c r="T5" s="10" t="inlineStr">
        <is>
          <t>테스트 단계 작성</t>
        </is>
      </c>
      <c r="U5" s="10" t="inlineStr">
        <is>
          <t>FE-E01 사용자 세션 문맥</t>
        </is>
      </c>
      <c r="V5" s="10" t="inlineStr">
        <is>
          <t>BE:E01 사용자
BE:E02 기자재 담당배정
BE:E24 변경 감사이력</t>
        </is>
      </c>
      <c r="W5" s="27" t="inlineStr">
        <is>
          <t>DEC-01 DEC-02</t>
        </is>
      </c>
      <c r="X5" s="10" t="inlineStr">
        <is>
          <t>구현 제안 포함 / 결정 필요</t>
        </is>
      </c>
      <c r="Y5" s="27" t="inlineStr">
        <is>
          <t>화면+서버</t>
        </is>
      </c>
      <c r="Z5" s="27" t="inlineStr">
        <is>
          <t>FE-AUTH-001
BE-AUTH-001</t>
        </is>
      </c>
    </row>
    <row r="6" ht="51.5" customHeight="1">
      <c r="A6" s="26" t="n">
        <v>2</v>
      </c>
      <c r="B6" s="26" t="inlineStr">
        <is>
          <t>예방 품질 관리</t>
        </is>
      </c>
      <c r="C6" s="26" t="inlineStr">
        <is>
          <t>접속·역할</t>
        </is>
      </c>
      <c r="D6" s="26" t="inlineStr">
        <is>
          <t>로그아웃</t>
        </is>
      </c>
      <c r="E6" s="26" t="inlineStr">
        <is>
          <t>RQ-AUTH-002</t>
        </is>
      </c>
      <c r="F6" s="10" t="inlineStr">
        <is>
          <t>로그아웃과 화면상태 초기화</t>
        </is>
      </c>
      <c r="G6" s="26" t="inlineStr">
        <is>
          <t>Y</t>
        </is>
      </c>
      <c r="H6" s="26" t="inlineStr">
        <is>
          <t>PRC-PQG-010</t>
        </is>
      </c>
      <c r="I6" s="10" t="inlineStr">
        <is>
          <t>사용자 인증·역할 결정</t>
        </is>
      </c>
      <c r="J6" s="26" t="inlineStr">
        <is>
          <t>PQG-LGN-010-M1
PQG-DSH-010-M1</t>
        </is>
      </c>
      <c r="K6" s="10" t="inlineStr">
        <is>
          <t>로그인 화면
대시보드(요약 카드·지표·위험 배너·체계분류 목록)</t>
        </is>
      </c>
      <c r="L6" s="26" t="inlineStr">
        <is>
          <t>N/A</t>
        </is>
      </c>
      <c r="M6" s="10" t="inlineStr">
        <is>
          <t>N/A</t>
        </is>
      </c>
      <c r="N6" s="26" t="inlineStr">
        <is>
          <t>미정</t>
        </is>
      </c>
      <c r="O6" s="10" t="inlineStr">
        <is>
          <t>사내 인증 연계 - 인증 사용자·역할 수신(후보, DEC-02)</t>
        </is>
      </c>
      <c r="P6" s="26" t="inlineStr">
        <is>
          <t>N/A</t>
        </is>
      </c>
      <c r="Q6" s="26" t="inlineStr">
        <is>
          <t>미작성</t>
        </is>
      </c>
      <c r="R6" s="10" t="inlineStr">
        <is>
          <t>개발 단계 작성</t>
        </is>
      </c>
      <c r="S6" s="26" t="inlineStr">
        <is>
          <t>미작성</t>
        </is>
      </c>
      <c r="T6" s="10" t="inlineStr">
        <is>
          <t>테스트 단계 작성</t>
        </is>
      </c>
      <c r="U6" s="10" t="inlineStr">
        <is>
          <t>FE-E01 사용자 세션 문맥
FE-E02 화면 탐색 상태</t>
        </is>
      </c>
      <c r="V6" s="10" t="inlineStr">
        <is>
          <t>BE:E01 사용자
BE:E02 기자재 담당배정</t>
        </is>
      </c>
      <c r="W6" s="27" t="inlineStr">
        <is>
          <t>DEC-02</t>
        </is>
      </c>
      <c r="X6" s="10" t="inlineStr">
        <is>
          <t>구현 제안 포함 / 결정 필요</t>
        </is>
      </c>
      <c r="Y6" s="27" t="inlineStr">
        <is>
          <t>화면</t>
        </is>
      </c>
      <c r="Z6" s="27" t="inlineStr">
        <is>
          <t>FE-AUTH-002</t>
        </is>
      </c>
    </row>
    <row r="7" ht="109.5" customHeight="1">
      <c r="A7" s="26" t="n">
        <v>3</v>
      </c>
      <c r="B7" s="26" t="inlineStr">
        <is>
          <t>예방 품질 관리</t>
        </is>
      </c>
      <c r="C7" s="26" t="inlineStr">
        <is>
          <t>접속·역할</t>
        </is>
      </c>
      <c r="D7" s="26" t="inlineStr">
        <is>
          <t>권한</t>
        </is>
      </c>
      <c r="E7" s="26" t="inlineStr">
        <is>
          <t>RQ-AUTH-003</t>
        </is>
      </c>
      <c r="F7" s="10" t="inlineStr">
        <is>
          <t>역할별 기능 노출과 서버 권한 검증</t>
        </is>
      </c>
      <c r="G7" s="26" t="inlineStr">
        <is>
          <t>Y</t>
        </is>
      </c>
      <c r="H7" s="26" t="inlineStr">
        <is>
          <t>PRC-PQG-010</t>
        </is>
      </c>
      <c r="I7" s="10" t="inlineStr">
        <is>
          <t>사용자 인증·역할 결정</t>
        </is>
      </c>
      <c r="J7" s="26" t="inlineStr">
        <is>
          <t>PQG-DSH-010-M1
PQG-EQP-010-M1
PQG-CFG-010-P1</t>
        </is>
      </c>
      <c r="K7" s="10" t="inlineStr">
        <is>
          <t>대시보드(요약 카드·지표·위험 배너·체계분류 목록)
기자재 상세(상단 Gate 흐름·판단 영역)
평가기준 설정 창</t>
        </is>
      </c>
      <c r="L7" s="26" t="inlineStr">
        <is>
          <t>N/A</t>
        </is>
      </c>
      <c r="M7" s="10" t="inlineStr">
        <is>
          <t>N/A</t>
        </is>
      </c>
      <c r="N7" s="26" t="inlineStr">
        <is>
          <t>N/A</t>
        </is>
      </c>
      <c r="O7" s="10" t="inlineStr">
        <is>
          <t>N/A</t>
        </is>
      </c>
      <c r="P7" s="26" t="inlineStr">
        <is>
          <t>미정</t>
        </is>
      </c>
      <c r="Q7" s="26" t="inlineStr">
        <is>
          <t>미작성</t>
        </is>
      </c>
      <c r="R7" s="10" t="inlineStr">
        <is>
          <t>개발 단계 작성</t>
        </is>
      </c>
      <c r="S7" s="26" t="inlineStr">
        <is>
          <t>미작성</t>
        </is>
      </c>
      <c r="T7" s="10" t="inlineStr">
        <is>
          <t>테스트 단계 작성</t>
        </is>
      </c>
      <c r="U7" s="10" t="inlineStr">
        <is>
          <t>FE-E01 사용자 세션 문맥
FE-E02 화면 탐색 상태</t>
        </is>
      </c>
      <c r="V7" s="10" t="inlineStr">
        <is>
          <t>BE:E01 사용자
BE:E02 기자재 담당배정
BE:E05 평가기준 버전
BE:E12 점검 승인판정
BE:E18 해명 품질판정
BE:E20 발주 승인결정
BE:E24 변경 감사이력</t>
        </is>
      </c>
      <c r="W7" s="27" t="inlineStr">
        <is>
          <t>DEC-01</t>
        </is>
      </c>
      <c r="X7" s="10" t="inlineStr">
        <is>
          <t>구현 제안 포함 / 결정 필요</t>
        </is>
      </c>
      <c r="Y7" s="27" t="inlineStr">
        <is>
          <t>화면+서버</t>
        </is>
      </c>
      <c r="Z7" s="27" t="inlineStr">
        <is>
          <t>FE-AUTH-003
BE-AUTH-003</t>
        </is>
      </c>
    </row>
    <row r="8" ht="153" customHeight="1">
      <c r="A8" s="26" t="n">
        <v>4</v>
      </c>
      <c r="B8" s="26" t="inlineStr">
        <is>
          <t>예방 품질 관리</t>
        </is>
      </c>
      <c r="C8" s="26" t="inlineStr">
        <is>
          <t>접속·역할</t>
        </is>
      </c>
      <c r="D8" s="26" t="inlineStr">
        <is>
          <t>권한</t>
        </is>
      </c>
      <c r="E8" s="26" t="inlineStr">
        <is>
          <t>RQ-AUTH-004</t>
        </is>
      </c>
      <c r="F8" s="10" t="inlineStr">
        <is>
          <t>기자재 담당범위 기준 조회 제한</t>
        </is>
      </c>
      <c r="G8" s="26" t="inlineStr">
        <is>
          <t>Y</t>
        </is>
      </c>
      <c r="H8" s="26" t="inlineStr">
        <is>
          <t>PRC-PQG-030</t>
        </is>
      </c>
      <c r="I8" s="10" t="inlineStr">
        <is>
          <t>기자재 목록·상세 조회</t>
        </is>
      </c>
      <c r="J8" s="26" t="inlineStr">
        <is>
          <t>PQG-DSH-010-M1
PQG-EQP-010-M1</t>
        </is>
      </c>
      <c r="K8" s="10" t="inlineStr">
        <is>
          <t>대시보드(요약 카드·지표·위험 배너·체계분류 목록)
기자재 상세(상단 Gate 흐름·판단 영역)</t>
        </is>
      </c>
      <c r="L8" s="26" t="inlineStr">
        <is>
          <t>N/A</t>
        </is>
      </c>
      <c r="M8" s="10" t="inlineStr">
        <is>
          <t>N/A</t>
        </is>
      </c>
      <c r="N8" s="26" t="inlineStr">
        <is>
          <t>N/A</t>
        </is>
      </c>
      <c r="O8" s="10" t="inlineStr">
        <is>
          <t>N/A</t>
        </is>
      </c>
      <c r="P8" s="26" t="inlineStr">
        <is>
          <t>미정</t>
        </is>
      </c>
      <c r="Q8" s="26" t="inlineStr">
        <is>
          <t>미작성</t>
        </is>
      </c>
      <c r="R8" s="10" t="inlineStr">
        <is>
          <t>개발 단계 작성</t>
        </is>
      </c>
      <c r="S8" s="26" t="inlineStr">
        <is>
          <t>미작성</t>
        </is>
      </c>
      <c r="T8" s="10" t="inlineStr">
        <is>
          <t>테스트 단계 작성</t>
        </is>
      </c>
      <c r="U8" s="10" t="inlineStr">
        <is>
          <t>FE-E01 사용자 세션 문맥
FE-E04 기자재 목록 행</t>
        </is>
      </c>
      <c r="V8" s="10" t="inlineStr">
        <is>
          <t>BE:E01 사용자
BE:E02 기자재 담당배정
BE:E04 기자재
BE:E22 첨부파일
BE:E23 업무 알림
BE:E03 체계분류
BE:E05 평가기준 버전
BE:E06 위험평가 회차
BE:E19 발주 통제판단
BE:E20 발주 승인결정</t>
        </is>
      </c>
      <c r="W8" s="27" t="inlineStr">
        <is>
          <t>DEC-01</t>
        </is>
      </c>
      <c r="X8" s="10" t="inlineStr">
        <is>
          <t>구현 제안 포함 / 결정 필요</t>
        </is>
      </c>
      <c r="Y8" s="27" t="inlineStr">
        <is>
          <t>화면+서버</t>
        </is>
      </c>
      <c r="Z8" s="27" t="inlineStr">
        <is>
          <t>FE-EQUIP-002
BE-AUTH-002</t>
        </is>
      </c>
    </row>
    <row r="9" ht="124" customHeight="1">
      <c r="A9" s="26" t="n">
        <v>5</v>
      </c>
      <c r="B9" s="26" t="inlineStr">
        <is>
          <t>예방 품질 관리</t>
        </is>
      </c>
      <c r="C9" s="26" t="inlineStr">
        <is>
          <t>대시보드</t>
        </is>
      </c>
      <c r="D9" s="26" t="inlineStr">
        <is>
          <t>조회</t>
        </is>
      </c>
      <c r="E9" s="26" t="inlineStr">
        <is>
          <t>RQ-DASH-001</t>
        </is>
      </c>
      <c r="F9" s="10" t="inlineStr">
        <is>
          <t>담당범위 요약 카드 표시</t>
        </is>
      </c>
      <c r="G9" s="26" t="inlineStr">
        <is>
          <t>Y</t>
        </is>
      </c>
      <c r="H9" s="26" t="inlineStr">
        <is>
          <t>PRC-PQG-020</t>
        </is>
      </c>
      <c r="I9" s="10" t="inlineStr">
        <is>
          <t>대시보드 현황 조회</t>
        </is>
      </c>
      <c r="J9" s="26" t="inlineStr">
        <is>
          <t>PQG-DSH-010-M1</t>
        </is>
      </c>
      <c r="K9" s="10" t="inlineStr">
        <is>
          <t>대시보드(요약 카드·지표·위험 배너·체계분류 목록)</t>
        </is>
      </c>
      <c r="L9" s="26" t="inlineStr">
        <is>
          <t>N/A</t>
        </is>
      </c>
      <c r="M9" s="10" t="inlineStr">
        <is>
          <t>N/A</t>
        </is>
      </c>
      <c r="N9" s="26" t="inlineStr">
        <is>
          <t>N/A</t>
        </is>
      </c>
      <c r="O9" s="10" t="inlineStr">
        <is>
          <t>N/A</t>
        </is>
      </c>
      <c r="P9" s="26" t="inlineStr">
        <is>
          <t>미정</t>
        </is>
      </c>
      <c r="Q9" s="26" t="inlineStr">
        <is>
          <t>미작성</t>
        </is>
      </c>
      <c r="R9" s="10" t="inlineStr">
        <is>
          <t>개발 단계 작성</t>
        </is>
      </c>
      <c r="S9" s="26" t="inlineStr">
        <is>
          <t>미작성</t>
        </is>
      </c>
      <c r="T9" s="10" t="inlineStr">
        <is>
          <t>테스트 단계 작성</t>
        </is>
      </c>
      <c r="U9" s="10" t="inlineStr">
        <is>
          <t>FE-E01 사용자 세션 문맥
FE-E03 대시보드 요약
FE-E04 기자재 목록 행</t>
        </is>
      </c>
      <c r="V9" s="10" t="inlineStr">
        <is>
          <t>BE:E01 사용자
BE:E02 기자재 담당배정
BE:E06 위험평가 회차
BE:E19 발주 통제판단
BE:E20 발주 승인결정
BE:E03 체계분류
BE:E04 기자재
BE:E05 평가기준 버전</t>
        </is>
      </c>
      <c r="W9" s="27" t="inlineStr">
        <is>
          <t>DEC-01</t>
        </is>
      </c>
      <c r="X9" s="10" t="inlineStr">
        <is>
          <t>구현 제안 포함 / 결정 필요</t>
        </is>
      </c>
      <c r="Y9" s="27" t="inlineStr">
        <is>
          <t>화면</t>
        </is>
      </c>
      <c r="Z9" s="27" t="inlineStr">
        <is>
          <t>FE-DASH-001</t>
        </is>
      </c>
    </row>
    <row r="10" ht="95" customHeight="1">
      <c r="A10" s="26" t="n">
        <v>6</v>
      </c>
      <c r="B10" s="26" t="inlineStr">
        <is>
          <t>예방 품질 관리</t>
        </is>
      </c>
      <c r="C10" s="26" t="inlineStr">
        <is>
          <t>대시보드</t>
        </is>
      </c>
      <c r="D10" s="26" t="inlineStr">
        <is>
          <t>조회</t>
        </is>
      </c>
      <c r="E10" s="26" t="inlineStr">
        <is>
          <t>RQ-DASH-002</t>
        </is>
      </c>
      <c r="F10" s="10" t="inlineStr">
        <is>
          <t>점검완료율·사양적합률·발주현황 지표 계산과 표시</t>
        </is>
      </c>
      <c r="G10" s="26" t="inlineStr">
        <is>
          <t>Y</t>
        </is>
      </c>
      <c r="H10" s="26" t="inlineStr">
        <is>
          <t>PRC-PQG-020</t>
        </is>
      </c>
      <c r="I10" s="10" t="inlineStr">
        <is>
          <t>대시보드 현황 조회</t>
        </is>
      </c>
      <c r="J10" s="26" t="inlineStr">
        <is>
          <t>PQG-DSH-010-M1</t>
        </is>
      </c>
      <c r="K10" s="10" t="inlineStr">
        <is>
          <t>대시보드(요약 카드·지표·위험 배너·체계분류 목록)</t>
        </is>
      </c>
      <c r="L10" s="26" t="inlineStr">
        <is>
          <t>N/A</t>
        </is>
      </c>
      <c r="M10" s="10" t="inlineStr">
        <is>
          <t>N/A</t>
        </is>
      </c>
      <c r="N10" s="26" t="inlineStr">
        <is>
          <t>N/A</t>
        </is>
      </c>
      <c r="O10" s="10" t="inlineStr">
        <is>
          <t>N/A</t>
        </is>
      </c>
      <c r="P10" s="26" t="inlineStr">
        <is>
          <t>미정</t>
        </is>
      </c>
      <c r="Q10" s="26" t="inlineStr">
        <is>
          <t>미작성</t>
        </is>
      </c>
      <c r="R10" s="10" t="inlineStr">
        <is>
          <t>개발 단계 작성</t>
        </is>
      </c>
      <c r="S10" s="26" t="inlineStr">
        <is>
          <t>미작성</t>
        </is>
      </c>
      <c r="T10" s="10" t="inlineStr">
        <is>
          <t>테스트 단계 작성</t>
        </is>
      </c>
      <c r="U10" s="10" t="inlineStr">
        <is>
          <t>FE-E03 대시보드 요약</t>
        </is>
      </c>
      <c r="V10" s="10" t="inlineStr">
        <is>
          <t>BE:E02 기자재 담당배정
BE:E04 기자재
BE:E06 위험평가 회차
BE:E09 기자재 점검항목
BE:E19 발주 통제판단
BE:E20 발주 승인결정</t>
        </is>
      </c>
      <c r="W10" s="27" t="inlineStr">
        <is>
          <t>DEC-03</t>
        </is>
      </c>
      <c r="X10" s="10" t="inlineStr">
        <is>
          <t>구현 제안 포함 / 결정 필요</t>
        </is>
      </c>
      <c r="Y10" s="27" t="inlineStr">
        <is>
          <t>화면+서버</t>
        </is>
      </c>
      <c r="Z10" s="27" t="inlineStr">
        <is>
          <t>FE-DASH-002
BE-DASH-001</t>
        </is>
      </c>
    </row>
    <row r="11" ht="80.5" customHeight="1">
      <c r="A11" s="26" t="n">
        <v>7</v>
      </c>
      <c r="B11" s="26" t="inlineStr">
        <is>
          <t>예방 품질 관리</t>
        </is>
      </c>
      <c r="C11" s="26" t="inlineStr">
        <is>
          <t>대시보드</t>
        </is>
      </c>
      <c r="D11" s="26" t="inlineStr">
        <is>
          <t>조회</t>
        </is>
      </c>
      <c r="E11" s="26" t="inlineStr">
        <is>
          <t>RQ-DASH-003</t>
        </is>
      </c>
      <c r="F11" s="10" t="inlineStr">
        <is>
          <t>발주 임박 위험 조회와 알림 배너 표시</t>
        </is>
      </c>
      <c r="G11" s="26" t="inlineStr">
        <is>
          <t>Y</t>
        </is>
      </c>
      <c r="H11" s="26" t="inlineStr">
        <is>
          <t>PRC-PQG-020</t>
        </is>
      </c>
      <c r="I11" s="10" t="inlineStr">
        <is>
          <t>대시보드 현황 조회</t>
        </is>
      </c>
      <c r="J11" s="26" t="inlineStr">
        <is>
          <t>PQG-DSH-010-M1</t>
        </is>
      </c>
      <c r="K11" s="10" t="inlineStr">
        <is>
          <t>대시보드(요약 카드·지표·위험 배너·체계분류 목록)</t>
        </is>
      </c>
      <c r="L11" s="26" t="inlineStr">
        <is>
          <t>N/A</t>
        </is>
      </c>
      <c r="M11" s="10" t="inlineStr">
        <is>
          <t>N/A</t>
        </is>
      </c>
      <c r="N11" s="26" t="inlineStr">
        <is>
          <t>N/A</t>
        </is>
      </c>
      <c r="O11" s="10" t="inlineStr">
        <is>
          <t>N/A</t>
        </is>
      </c>
      <c r="P11" s="26" t="inlineStr">
        <is>
          <t>미정</t>
        </is>
      </c>
      <c r="Q11" s="26" t="inlineStr">
        <is>
          <t>미작성</t>
        </is>
      </c>
      <c r="R11" s="10" t="inlineStr">
        <is>
          <t>개발 단계 작성</t>
        </is>
      </c>
      <c r="S11" s="26" t="inlineStr">
        <is>
          <t>미작성</t>
        </is>
      </c>
      <c r="T11" s="10" t="inlineStr">
        <is>
          <t>테스트 단계 작성</t>
        </is>
      </c>
      <c r="U11" s="10" t="inlineStr">
        <is>
          <t>FE-E03 대시보드 요약
FE-E05 위험 알림 행</t>
        </is>
      </c>
      <c r="V11" s="10" t="inlineStr">
        <is>
          <t>BE:E02 기자재 담당배정
BE:E04 기자재
BE:E19 발주 통제판단
BE:E20 발주 승인결정
BE:E06 위험평가 회차</t>
        </is>
      </c>
      <c r="W11" s="27" t="inlineStr">
        <is>
          <t>DEC-03 DEC-04</t>
        </is>
      </c>
      <c r="X11" s="10" t="inlineStr">
        <is>
          <t>구현 제안 포함 / 결정 필요</t>
        </is>
      </c>
      <c r="Y11" s="27" t="inlineStr">
        <is>
          <t>화면+서버</t>
        </is>
      </c>
      <c r="Z11" s="27" t="inlineStr">
        <is>
          <t>FE-DASH-003
BE-DASH-003</t>
        </is>
      </c>
    </row>
    <row r="12" ht="95" customHeight="1">
      <c r="A12" s="26" t="n">
        <v>8</v>
      </c>
      <c r="B12" s="26" t="inlineStr">
        <is>
          <t>예방 품질 관리</t>
        </is>
      </c>
      <c r="C12" s="26" t="inlineStr">
        <is>
          <t>대시보드</t>
        </is>
      </c>
      <c r="D12" s="26" t="inlineStr">
        <is>
          <t>필터·검색</t>
        </is>
      </c>
      <c r="E12" s="26" t="inlineStr">
        <is>
          <t>RQ-DASH-004</t>
        </is>
      </c>
      <c r="F12" s="10" t="inlineStr">
        <is>
          <t>체계분류별 목록 펼침·필터·검색</t>
        </is>
      </c>
      <c r="G12" s="26" t="inlineStr">
        <is>
          <t>Y</t>
        </is>
      </c>
      <c r="H12" s="26" t="inlineStr">
        <is>
          <t>PRC-PQG-020</t>
        </is>
      </c>
      <c r="I12" s="10" t="inlineStr">
        <is>
          <t>대시보드 현황 조회</t>
        </is>
      </c>
      <c r="J12" s="26" t="inlineStr">
        <is>
          <t>PQG-DSH-010-M1</t>
        </is>
      </c>
      <c r="K12" s="10" t="inlineStr">
        <is>
          <t>대시보드(요약 카드·지표·위험 배너·체계분류 목록)</t>
        </is>
      </c>
      <c r="L12" s="26" t="inlineStr">
        <is>
          <t>N/A</t>
        </is>
      </c>
      <c r="M12" s="10" t="inlineStr">
        <is>
          <t>N/A</t>
        </is>
      </c>
      <c r="N12" s="26" t="inlineStr">
        <is>
          <t>N/A</t>
        </is>
      </c>
      <c r="O12" s="10" t="inlineStr">
        <is>
          <t>N/A</t>
        </is>
      </c>
      <c r="P12" s="26" t="inlineStr">
        <is>
          <t>N/A</t>
        </is>
      </c>
      <c r="Q12" s="26" t="inlineStr">
        <is>
          <t>미작성</t>
        </is>
      </c>
      <c r="R12" s="10" t="inlineStr">
        <is>
          <t>개발 단계 작성</t>
        </is>
      </c>
      <c r="S12" s="26" t="inlineStr">
        <is>
          <t>미작성</t>
        </is>
      </c>
      <c r="T12" s="10" t="inlineStr">
        <is>
          <t>테스트 단계 작성</t>
        </is>
      </c>
      <c r="U12" s="10" t="inlineStr">
        <is>
          <t>FE-E02 화면 탐색 상태
FE-E04 기자재 목록 행</t>
        </is>
      </c>
      <c r="V12" s="10" t="inlineStr">
        <is>
          <t>BE:E03 체계분류
BE:E04 기자재
BE:E05 평가기준 버전
BE:E06 위험평가 회차
BE:E19 발주 통제판단
BE:E20 발주 승인결정</t>
        </is>
      </c>
      <c r="W12" s="27" t="inlineStr">
        <is>
          <t>N/A</t>
        </is>
      </c>
      <c r="X12" s="10" t="inlineStr">
        <is>
          <t>목업 동작 확인 / 업무 미승인</t>
        </is>
      </c>
      <c r="Y12" s="27" t="inlineStr">
        <is>
          <t>화면</t>
        </is>
      </c>
      <c r="Z12" s="27" t="inlineStr">
        <is>
          <t>FE-DASH-004</t>
        </is>
      </c>
    </row>
    <row r="13" ht="66" customHeight="1">
      <c r="A13" s="26" t="n">
        <v>9</v>
      </c>
      <c r="B13" s="26" t="inlineStr">
        <is>
          <t>예방 품질 관리</t>
        </is>
      </c>
      <c r="C13" s="26" t="inlineStr">
        <is>
          <t>대시보드</t>
        </is>
      </c>
      <c r="D13" s="26" t="inlineStr">
        <is>
          <t>필터·검색</t>
        </is>
      </c>
      <c r="E13" s="26" t="inlineStr">
        <is>
          <t>RQ-DASH-005</t>
        </is>
      </c>
      <c r="F13" s="10" t="inlineStr">
        <is>
          <t>등급 카드 클릭 필터</t>
        </is>
      </c>
      <c r="G13" s="26" t="inlineStr">
        <is>
          <t>Y</t>
        </is>
      </c>
      <c r="H13" s="26" t="inlineStr">
        <is>
          <t>PRC-PQG-020</t>
        </is>
      </c>
      <c r="I13" s="10" t="inlineStr">
        <is>
          <t>대시보드 현황 조회</t>
        </is>
      </c>
      <c r="J13" s="26" t="inlineStr">
        <is>
          <t>PQG-DSH-010-M1</t>
        </is>
      </c>
      <c r="K13" s="10" t="inlineStr">
        <is>
          <t>대시보드(요약 카드·지표·위험 배너·체계분류 목록)</t>
        </is>
      </c>
      <c r="L13" s="26" t="inlineStr">
        <is>
          <t>N/A</t>
        </is>
      </c>
      <c r="M13" s="10" t="inlineStr">
        <is>
          <t>N/A</t>
        </is>
      </c>
      <c r="N13" s="26" t="inlineStr">
        <is>
          <t>N/A</t>
        </is>
      </c>
      <c r="O13" s="10" t="inlineStr">
        <is>
          <t>N/A</t>
        </is>
      </c>
      <c r="P13" s="26" t="inlineStr">
        <is>
          <t>N/A</t>
        </is>
      </c>
      <c r="Q13" s="26" t="inlineStr">
        <is>
          <t>미작성</t>
        </is>
      </c>
      <c r="R13" s="10" t="inlineStr">
        <is>
          <t>개발 단계 작성</t>
        </is>
      </c>
      <c r="S13" s="26" t="inlineStr">
        <is>
          <t>미작성</t>
        </is>
      </c>
      <c r="T13" s="10" t="inlineStr">
        <is>
          <t>테스트 단계 작성</t>
        </is>
      </c>
      <c r="U13" s="10" t="inlineStr">
        <is>
          <t>FE-E02 화면 탐색 상태
FE-E03 대시보드 요약</t>
        </is>
      </c>
      <c r="V13" s="10" t="inlineStr">
        <is>
          <t>BE:E02 기자재 담당배정
BE:E06 위험평가 회차
BE:E19 발주 통제판단
BE:E20 발주 승인결정</t>
        </is>
      </c>
      <c r="W13" s="27" t="inlineStr">
        <is>
          <t>N/A</t>
        </is>
      </c>
      <c r="X13" s="10" t="inlineStr">
        <is>
          <t>구현 제안 포함 / 결정 필요</t>
        </is>
      </c>
      <c r="Y13" s="27" t="inlineStr">
        <is>
          <t>화면</t>
        </is>
      </c>
      <c r="Z13" s="27" t="inlineStr">
        <is>
          <t>FE-DASH-005</t>
        </is>
      </c>
    </row>
    <row r="14" ht="109.5" customHeight="1">
      <c r="A14" s="26" t="n">
        <v>10</v>
      </c>
      <c r="B14" s="26" t="inlineStr">
        <is>
          <t>예방 품질 관리</t>
        </is>
      </c>
      <c r="C14" s="26" t="inlineStr">
        <is>
          <t>대시보드</t>
        </is>
      </c>
      <c r="D14" s="26" t="inlineStr">
        <is>
          <t>조회</t>
        </is>
      </c>
      <c r="E14" s="26" t="inlineStr">
        <is>
          <t>RQ-DASH-006</t>
        </is>
      </c>
      <c r="F14" s="10" t="inlineStr">
        <is>
          <t>Gate 판단결과별 현황 지표 표시</t>
        </is>
      </c>
      <c r="G14" s="26" t="inlineStr">
        <is>
          <t>Y</t>
        </is>
      </c>
      <c r="H14" s="26" t="inlineStr">
        <is>
          <t>PRC-PQG-020</t>
        </is>
      </c>
      <c r="I14" s="10" t="inlineStr">
        <is>
          <t>대시보드 현황 조회</t>
        </is>
      </c>
      <c r="J14" s="26" t="inlineStr">
        <is>
          <t>PQG-DSH-010-M1</t>
        </is>
      </c>
      <c r="K14" s="10" t="inlineStr">
        <is>
          <t>대시보드(요약 카드·지표·위험 배너·체계분류 목록)</t>
        </is>
      </c>
      <c r="L14" s="26" t="inlineStr">
        <is>
          <t>미정</t>
        </is>
      </c>
      <c r="M14" s="10" t="inlineStr">
        <is>
          <t>잔여조건 보완기한 경과 판정(후보, DEC-23)</t>
        </is>
      </c>
      <c r="N14" s="26" t="inlineStr">
        <is>
          <t>N/A</t>
        </is>
      </c>
      <c r="O14" s="10" t="inlineStr">
        <is>
          <t>N/A</t>
        </is>
      </c>
      <c r="P14" s="26" t="inlineStr">
        <is>
          <t>미정</t>
        </is>
      </c>
      <c r="Q14" s="26" t="inlineStr">
        <is>
          <t>미작성</t>
        </is>
      </c>
      <c r="R14" s="10" t="inlineStr">
        <is>
          <t>개발 단계 작성</t>
        </is>
      </c>
      <c r="S14" s="26" t="inlineStr">
        <is>
          <t>미작성</t>
        </is>
      </c>
      <c r="T14" s="10" t="inlineStr">
        <is>
          <t>테스트 단계 작성</t>
        </is>
      </c>
      <c r="U14" s="10" t="inlineStr">
        <is>
          <t>FE-E03 대시보드 요약
FE-E02 화면 탐색 상태
FE-E04 기자재 목록 행</t>
        </is>
      </c>
      <c r="V14" s="10" t="inlineStr">
        <is>
          <t>BE:E02 기자재 담당배정
BE:E06 위험평가 회차
BE:E19 발주 통제판단
BE:E20 발주 승인결정
BE:E03 체계분류
BE:E04 기자재
BE:E05 평가기준 버전</t>
        </is>
      </c>
      <c r="W14" s="27" t="inlineStr">
        <is>
          <t>DEC-03 DEC-23</t>
        </is>
      </c>
      <c r="X14" s="10" t="inlineStr">
        <is>
          <t>구현 제안 포함 / 결정 필요</t>
        </is>
      </c>
      <c r="Y14" s="27" t="inlineStr">
        <is>
          <t>화면</t>
        </is>
      </c>
      <c r="Z14" s="27" t="inlineStr">
        <is>
          <t>FE-DASH-006</t>
        </is>
      </c>
    </row>
    <row r="15" ht="109.5" customHeight="1">
      <c r="A15" s="26" t="n">
        <v>11</v>
      </c>
      <c r="B15" s="26" t="inlineStr">
        <is>
          <t>예방 품질 관리</t>
        </is>
      </c>
      <c r="C15" s="26" t="inlineStr">
        <is>
          <t>기자재</t>
        </is>
      </c>
      <c r="D15" s="26" t="inlineStr">
        <is>
          <t>조회</t>
        </is>
      </c>
      <c r="E15" s="26" t="inlineStr">
        <is>
          <t>RQ-EQUIP-001</t>
        </is>
      </c>
      <c r="F15" s="10" t="inlineStr">
        <is>
          <t>기자재·체계분류 목록 조회와 행 표시</t>
        </is>
      </c>
      <c r="G15" s="26" t="inlineStr">
        <is>
          <t>Y</t>
        </is>
      </c>
      <c r="H15" s="26" t="inlineStr">
        <is>
          <t>PRC-PQG-030</t>
        </is>
      </c>
      <c r="I15" s="10" t="inlineStr">
        <is>
          <t>기자재 목록·상세 조회</t>
        </is>
      </c>
      <c r="J15" s="26" t="inlineStr">
        <is>
          <t>PQG-DSH-010-M1</t>
        </is>
      </c>
      <c r="K15" s="10" t="inlineStr">
        <is>
          <t>대시보드(요약 카드·지표·위험 배너·체계분류 목록)</t>
        </is>
      </c>
      <c r="L15" s="26" t="inlineStr">
        <is>
          <t>N/A</t>
        </is>
      </c>
      <c r="M15" s="10" t="inlineStr">
        <is>
          <t>N/A</t>
        </is>
      </c>
      <c r="N15" s="26" t="inlineStr">
        <is>
          <t>N/A</t>
        </is>
      </c>
      <c r="O15" s="10" t="inlineStr">
        <is>
          <t>N/A</t>
        </is>
      </c>
      <c r="P15" s="26" t="inlineStr">
        <is>
          <t>미정</t>
        </is>
      </c>
      <c r="Q15" s="26" t="inlineStr">
        <is>
          <t>미작성</t>
        </is>
      </c>
      <c r="R15" s="10" t="inlineStr">
        <is>
          <t>개발 단계 작성</t>
        </is>
      </c>
      <c r="S15" s="26" t="inlineStr">
        <is>
          <t>미작성</t>
        </is>
      </c>
      <c r="T15" s="10" t="inlineStr">
        <is>
          <t>테스트 단계 작성</t>
        </is>
      </c>
      <c r="U15" s="10" t="inlineStr">
        <is>
          <t>FE-E04 기자재 목록 행</t>
        </is>
      </c>
      <c r="V15" s="10" t="inlineStr">
        <is>
          <t>BE:E02 기자재 담당배정
BE:E03 체계분류
BE:E04 기자재
BE:E06 위험평가 회차
BE:E05 평가기준 버전
BE:E19 발주 통제판단
BE:E20 발주 승인결정</t>
        </is>
      </c>
      <c r="W15" s="27" t="inlineStr">
        <is>
          <t>DEC-06 DEC-07</t>
        </is>
      </c>
      <c r="X15" s="10" t="inlineStr">
        <is>
          <t>구현 제안 포함 / 결정 필요</t>
        </is>
      </c>
      <c r="Y15" s="27" t="inlineStr">
        <is>
          <t>화면+서버</t>
        </is>
      </c>
      <c r="Z15" s="27" t="inlineStr">
        <is>
          <t>FE-EQUIP-001
BE-EQUIP-001</t>
        </is>
      </c>
    </row>
    <row r="16" ht="153" customHeight="1">
      <c r="A16" s="26" t="n">
        <v>12</v>
      </c>
      <c r="B16" s="26" t="inlineStr">
        <is>
          <t>예방 품질 관리</t>
        </is>
      </c>
      <c r="C16" s="26" t="inlineStr">
        <is>
          <t>기자재</t>
        </is>
      </c>
      <c r="D16" s="26" t="inlineStr">
        <is>
          <t>조회</t>
        </is>
      </c>
      <c r="E16" s="26" t="inlineStr">
        <is>
          <t>RQ-EQUIP-002</t>
        </is>
      </c>
      <c r="F16" s="10" t="inlineStr">
        <is>
          <t>기자재 상세 진입과 원천 개정 식별</t>
        </is>
      </c>
      <c r="G16" s="26" t="inlineStr">
        <is>
          <t>Y</t>
        </is>
      </c>
      <c r="H16" s="26" t="inlineStr">
        <is>
          <t>PRC-PQG-030</t>
        </is>
      </c>
      <c r="I16" s="10" t="inlineStr">
        <is>
          <t>기자재 목록·상세 조회</t>
        </is>
      </c>
      <c r="J16" s="26" t="inlineStr">
        <is>
          <t>PQG-DSH-010-M1
PQG-EQP-010-M1</t>
        </is>
      </c>
      <c r="K16" s="10" t="inlineStr">
        <is>
          <t>대시보드(요약 카드·지표·위험 배너·체계분류 목록)
기자재 상세(상단 Gate 흐름·판단 영역)</t>
        </is>
      </c>
      <c r="L16" s="26" t="inlineStr">
        <is>
          <t>N/A</t>
        </is>
      </c>
      <c r="M16" s="10" t="inlineStr">
        <is>
          <t>N/A</t>
        </is>
      </c>
      <c r="N16" s="26" t="inlineStr">
        <is>
          <t>N/A</t>
        </is>
      </c>
      <c r="O16" s="10" t="inlineStr">
        <is>
          <t>N/A</t>
        </is>
      </c>
      <c r="P16" s="26" t="inlineStr">
        <is>
          <t>미정</t>
        </is>
      </c>
      <c r="Q16" s="26" t="inlineStr">
        <is>
          <t>미작성</t>
        </is>
      </c>
      <c r="R16" s="10" t="inlineStr">
        <is>
          <t>개발 단계 작성</t>
        </is>
      </c>
      <c r="S16" s="26" t="inlineStr">
        <is>
          <t>미작성</t>
        </is>
      </c>
      <c r="T16" s="10" t="inlineStr">
        <is>
          <t>테스트 단계 작성</t>
        </is>
      </c>
      <c r="U16" s="10" t="inlineStr">
        <is>
          <t>FE-E04 기자재 목록 행
FE-E09 위험도 산정 근거</t>
        </is>
      </c>
      <c r="V16" s="10" t="inlineStr">
        <is>
          <t>BE:E04 기자재
BE:E06 위험평가 회차
BE:E09 기자재 점검항목
BE:E13 사양비교 개정
BE:E14 사양비교 항목
BE:E19 발주 통제판단
BE:E03 체계분류
BE:E05 평가기준 버전
BE:E20 발주 승인결정
BE:E07 평가요소</t>
        </is>
      </c>
      <c r="W16" s="27" t="inlineStr">
        <is>
          <t>DEC-06 DEC-13</t>
        </is>
      </c>
      <c r="X16" s="10" t="inlineStr">
        <is>
          <t>구현 제안 포함 / 결정 필요</t>
        </is>
      </c>
      <c r="Y16" s="27" t="inlineStr">
        <is>
          <t>화면+서버</t>
        </is>
      </c>
      <c r="Z16" s="27" t="inlineStr">
        <is>
          <t>FE-EQUIP-003
BE-EQUIP-002</t>
        </is>
      </c>
    </row>
    <row r="17" ht="153" customHeight="1">
      <c r="A17" s="26" t="n">
        <v>13</v>
      </c>
      <c r="B17" s="26" t="inlineStr">
        <is>
          <t>예방 품질 관리</t>
        </is>
      </c>
      <c r="C17" s="26" t="inlineStr">
        <is>
          <t>기자재</t>
        </is>
      </c>
      <c r="D17" s="26" t="inlineStr">
        <is>
          <t>화면 전환</t>
        </is>
      </c>
      <c r="E17" s="26" t="inlineStr">
        <is>
          <t>RQ-EQUIP-003</t>
        </is>
      </c>
      <c r="F17" s="10" t="inlineStr">
        <is>
          <t>상세화면 탭 구성과 전환</t>
        </is>
      </c>
      <c r="G17" s="26" t="inlineStr">
        <is>
          <t>Y</t>
        </is>
      </c>
      <c r="H17" s="26" t="inlineStr">
        <is>
          <t>PRC-PQG-030</t>
        </is>
      </c>
      <c r="I17" s="10" t="inlineStr">
        <is>
          <t>기자재 목록·상세 조회</t>
        </is>
      </c>
      <c r="J17" s="26" t="inlineStr">
        <is>
          <t>PQG-EQP-010-M1
PQG-EQP-020-M1
PQG-EQP-030-M1
PQG-EQP-040-M1</t>
        </is>
      </c>
      <c r="K17" s="10" t="inlineStr">
        <is>
          <t>기자재 상세(상단 Gate 흐름·판단 영역)
교훈 점검 탭
사양 비교 탭
위험도 산정 근거 탭</t>
        </is>
      </c>
      <c r="L17" s="26" t="inlineStr">
        <is>
          <t>N/A</t>
        </is>
      </c>
      <c r="M17" s="10" t="inlineStr">
        <is>
          <t>N/A</t>
        </is>
      </c>
      <c r="N17" s="26" t="inlineStr">
        <is>
          <t>N/A</t>
        </is>
      </c>
      <c r="O17" s="10" t="inlineStr">
        <is>
          <t>N/A</t>
        </is>
      </c>
      <c r="P17" s="26" t="inlineStr">
        <is>
          <t>N/A</t>
        </is>
      </c>
      <c r="Q17" s="26" t="inlineStr">
        <is>
          <t>미작성</t>
        </is>
      </c>
      <c r="R17" s="10" t="inlineStr">
        <is>
          <t>개발 단계 작성</t>
        </is>
      </c>
      <c r="S17" s="26" t="inlineStr">
        <is>
          <t>미작성</t>
        </is>
      </c>
      <c r="T17" s="10" t="inlineStr">
        <is>
          <t>테스트 단계 작성</t>
        </is>
      </c>
      <c r="U17" s="10" t="inlineStr">
        <is>
          <t>FE-E06 점검 항목 행
FE-E09 위험도 산정 근거
FE-E14 사양 비교 행</t>
        </is>
      </c>
      <c r="V17" s="10" t="inlineStr">
        <is>
          <t>BE:E08 교훈기준 개정
BE:E09 기자재 점검항목
BE:E10 점검 제출회차
BE:E22 첨부파일
BE:E05 평가기준 버전
BE:E06 위험평가 회차
BE:E07 평가요소
BE:E13 사양비교 개정
BE:E14 사양비교 항목
BE:E15 사양 해명회차</t>
        </is>
      </c>
      <c r="W17" s="27" t="inlineStr">
        <is>
          <t>N/A</t>
        </is>
      </c>
      <c r="X17" s="10" t="inlineStr">
        <is>
          <t>목업 동작 확인 / 업무 미승인</t>
        </is>
      </c>
      <c r="Y17" s="27" t="inlineStr">
        <is>
          <t>화면</t>
        </is>
      </c>
      <c r="Z17" s="27" t="inlineStr">
        <is>
          <t>FE-EQUIP-004</t>
        </is>
      </c>
    </row>
    <row r="18" ht="109.5" customHeight="1">
      <c r="A18" s="26" t="n">
        <v>14</v>
      </c>
      <c r="B18" s="26" t="inlineStr">
        <is>
          <t>예방 품질 관리</t>
        </is>
      </c>
      <c r="C18" s="26" t="inlineStr">
        <is>
          <t>위험평가</t>
        </is>
      </c>
      <c r="D18" s="26" t="inlineStr">
        <is>
          <t>조회</t>
        </is>
      </c>
      <c r="E18" s="26" t="inlineStr">
        <is>
          <t>RQ-SCORE-001</t>
        </is>
      </c>
      <c r="F18" s="10" t="inlineStr">
        <is>
          <t>위험도 점수·등급의 재현 가능한 저장과 표시</t>
        </is>
      </c>
      <c r="G18" s="26" t="inlineStr">
        <is>
          <t>Y</t>
        </is>
      </c>
      <c r="H18" s="26" t="inlineStr">
        <is>
          <t>PRC-PQG-040</t>
        </is>
      </c>
      <c r="I18" s="10" t="inlineStr">
        <is>
          <t>위험도 산정 결과 조회</t>
        </is>
      </c>
      <c r="J18" s="26" t="inlineStr">
        <is>
          <t>PQG-DSH-010-M1
PQG-EQP-040-M1
PQG-SIM-010-P1</t>
        </is>
      </c>
      <c r="K18" s="10" t="inlineStr">
        <is>
          <t>대시보드(요약 카드·지표·위험 배너·체계분류 목록)
위험도 산정 근거 탭
점수 시뮬레이터 창</t>
        </is>
      </c>
      <c r="L18" s="26" t="inlineStr">
        <is>
          <t>N/A</t>
        </is>
      </c>
      <c r="M18" s="10" t="inlineStr">
        <is>
          <t>N/A</t>
        </is>
      </c>
      <c r="N18" s="26" t="inlineStr">
        <is>
          <t>N/A</t>
        </is>
      </c>
      <c r="O18" s="10" t="inlineStr">
        <is>
          <t>N/A</t>
        </is>
      </c>
      <c r="P18" s="26" t="inlineStr">
        <is>
          <t>미정</t>
        </is>
      </c>
      <c r="Q18" s="26" t="inlineStr">
        <is>
          <t>미작성</t>
        </is>
      </c>
      <c r="R18" s="10" t="inlineStr">
        <is>
          <t>개발 단계 작성</t>
        </is>
      </c>
      <c r="S18" s="26" t="inlineStr">
        <is>
          <t>미작성</t>
        </is>
      </c>
      <c r="T18" s="10" t="inlineStr">
        <is>
          <t>테스트 단계 작성</t>
        </is>
      </c>
      <c r="U18" s="10" t="inlineStr">
        <is>
          <t>FE-E04 기자재 목록 행
FE-E09 위험도 산정 근거
FE-E13 점수 시뮬레이터</t>
        </is>
      </c>
      <c r="V18" s="10" t="inlineStr">
        <is>
          <t>BE:E04 기자재
BE:E05 평가기준 버전
BE:E06 위험평가 회차
BE:E07 평가요소
BE:E03 체계분류
BE:E19 발주 통제판단
BE:E20 발주 승인결정</t>
        </is>
      </c>
      <c r="W18" s="27" t="inlineStr">
        <is>
          <t>DEC-07</t>
        </is>
      </c>
      <c r="X18" s="10" t="inlineStr">
        <is>
          <t>구현 제안 포함 / 결정 필요</t>
        </is>
      </c>
      <c r="Y18" s="27" t="inlineStr">
        <is>
          <t>화면+서버</t>
        </is>
      </c>
      <c r="Z18" s="27" t="inlineStr">
        <is>
          <t>FE-SCORE-001
BE-SCORE-001</t>
        </is>
      </c>
    </row>
    <row r="19" ht="80.5" customHeight="1">
      <c r="A19" s="26" t="n">
        <v>15</v>
      </c>
      <c r="B19" s="26" t="inlineStr">
        <is>
          <t>예방 품질 관리</t>
        </is>
      </c>
      <c r="C19" s="26" t="inlineStr">
        <is>
          <t>위험평가</t>
        </is>
      </c>
      <c r="D19" s="26" t="inlineStr">
        <is>
          <t>조회</t>
        </is>
      </c>
      <c r="E19" s="26" t="inlineStr">
        <is>
          <t>RQ-SCORE-002</t>
        </is>
      </c>
      <c r="F19" s="10" t="inlineStr">
        <is>
          <t>산정근거와 참조 이력 추적·표시</t>
        </is>
      </c>
      <c r="G19" s="26" t="inlineStr">
        <is>
          <t>Y</t>
        </is>
      </c>
      <c r="H19" s="26" t="inlineStr">
        <is>
          <t>PRC-PQG-040</t>
        </is>
      </c>
      <c r="I19" s="10" t="inlineStr">
        <is>
          <t>위험도 산정 결과 조회</t>
        </is>
      </c>
      <c r="J19" s="26" t="inlineStr">
        <is>
          <t>PQG-EQP-040-M1</t>
        </is>
      </c>
      <c r="K19" s="10" t="inlineStr">
        <is>
          <t>위험도 산정 근거 탭</t>
        </is>
      </c>
      <c r="L19" s="26" t="inlineStr">
        <is>
          <t>N/A</t>
        </is>
      </c>
      <c r="M19" s="10" t="inlineStr">
        <is>
          <t>N/A</t>
        </is>
      </c>
      <c r="N19" s="26" t="inlineStr">
        <is>
          <t>미정</t>
        </is>
      </c>
      <c r="O19" s="10" t="inlineStr">
        <is>
          <t>품질 이력 데이터(결함·클레임) 수신(후보, DEC-07)</t>
        </is>
      </c>
      <c r="P19" s="26" t="inlineStr">
        <is>
          <t>미정</t>
        </is>
      </c>
      <c r="Q19" s="26" t="inlineStr">
        <is>
          <t>미작성</t>
        </is>
      </c>
      <c r="R19" s="10" t="inlineStr">
        <is>
          <t>개발 단계 작성</t>
        </is>
      </c>
      <c r="S19" s="26" t="inlineStr">
        <is>
          <t>미작성</t>
        </is>
      </c>
      <c r="T19" s="10" t="inlineStr">
        <is>
          <t>테스트 단계 작성</t>
        </is>
      </c>
      <c r="U19" s="10" t="inlineStr">
        <is>
          <t>FE-E09 위험도 산정 근거
FE-E10 참조 이력 행</t>
        </is>
      </c>
      <c r="V19" s="10" t="inlineStr">
        <is>
          <t>BE:E05 평가기준 버전
BE:E06 위험평가 회차
BE:E07 평가요소
BE:E25 품질 참조이력
BE:E26 평가 참조연결</t>
        </is>
      </c>
      <c r="W19" s="27" t="inlineStr">
        <is>
          <t>DEC-07</t>
        </is>
      </c>
      <c r="X19" s="10" t="inlineStr">
        <is>
          <t>구현 제안 포함 / 결정 필요</t>
        </is>
      </c>
      <c r="Y19" s="27" t="inlineStr">
        <is>
          <t>화면+서버</t>
        </is>
      </c>
      <c r="Z19" s="27" t="inlineStr">
        <is>
          <t>FE-SCORE-002
BE-SCORE-002</t>
        </is>
      </c>
    </row>
    <row r="20" ht="66" customHeight="1">
      <c r="A20" s="26" t="n">
        <v>16</v>
      </c>
      <c r="B20" s="26" t="inlineStr">
        <is>
          <t>예방 품질 관리</t>
        </is>
      </c>
      <c r="C20" s="26" t="inlineStr">
        <is>
          <t>위험평가</t>
        </is>
      </c>
      <c r="D20" s="26" t="inlineStr">
        <is>
          <t>조회</t>
        </is>
      </c>
      <c r="E20" s="26" t="inlineStr">
        <is>
          <t>RQ-SCORE-003</t>
        </is>
      </c>
      <c r="F20" s="10" t="inlineStr">
        <is>
          <t>등재 기준과 발주 통제 대상 구분</t>
        </is>
      </c>
      <c r="G20" s="26" t="inlineStr">
        <is>
          <t>Y</t>
        </is>
      </c>
      <c r="H20" s="26" t="inlineStr">
        <is>
          <t>PRC-PQG-040</t>
        </is>
      </c>
      <c r="I20" s="10" t="inlineStr">
        <is>
          <t>위험도 산정 결과 조회</t>
        </is>
      </c>
      <c r="J20" s="26" t="inlineStr">
        <is>
          <t>PQG-EQP-040-M1</t>
        </is>
      </c>
      <c r="K20" s="10" t="inlineStr">
        <is>
          <t>위험도 산정 근거 탭</t>
        </is>
      </c>
      <c r="L20" s="26" t="inlineStr">
        <is>
          <t>N/A</t>
        </is>
      </c>
      <c r="M20" s="10" t="inlineStr">
        <is>
          <t>N/A</t>
        </is>
      </c>
      <c r="N20" s="26" t="inlineStr">
        <is>
          <t>N/A</t>
        </is>
      </c>
      <c r="O20" s="10" t="inlineStr">
        <is>
          <t>N/A</t>
        </is>
      </c>
      <c r="P20" s="26" t="inlineStr">
        <is>
          <t>미정</t>
        </is>
      </c>
      <c r="Q20" s="26" t="inlineStr">
        <is>
          <t>미작성</t>
        </is>
      </c>
      <c r="R20" s="10" t="inlineStr">
        <is>
          <t>개발 단계 작성</t>
        </is>
      </c>
      <c r="S20" s="26" t="inlineStr">
        <is>
          <t>미작성</t>
        </is>
      </c>
      <c r="T20" s="10" t="inlineStr">
        <is>
          <t>테스트 단계 작성</t>
        </is>
      </c>
      <c r="U20" s="10" t="inlineStr">
        <is>
          <t>FE-E09 위험도 산정 근거</t>
        </is>
      </c>
      <c r="V20" s="10" t="inlineStr">
        <is>
          <t>BE:E05 평가기준 버전
BE:E06 위험평가 회차
BE:E19 발주 통제판단
BE:E07 평가요소</t>
        </is>
      </c>
      <c r="W20" s="27" t="inlineStr">
        <is>
          <t>DEC-08</t>
        </is>
      </c>
      <c r="X20" s="10" t="inlineStr">
        <is>
          <t>구현 제안 포함 / 결정 필요</t>
        </is>
      </c>
      <c r="Y20" s="27" t="inlineStr">
        <is>
          <t>화면+서버</t>
        </is>
      </c>
      <c r="Z20" s="27" t="inlineStr">
        <is>
          <t>FE-SCORE-003
BE-SCORE-004</t>
        </is>
      </c>
    </row>
    <row r="21" ht="51.5" customHeight="1">
      <c r="A21" s="26" t="n">
        <v>17</v>
      </c>
      <c r="B21" s="26" t="inlineStr">
        <is>
          <t>예방 품질 관리</t>
        </is>
      </c>
      <c r="C21" s="26" t="inlineStr">
        <is>
          <t>위험평가</t>
        </is>
      </c>
      <c r="D21" s="26" t="inlineStr">
        <is>
          <t>계산</t>
        </is>
      </c>
      <c r="E21" s="26" t="inlineStr">
        <is>
          <t>RQ-SCORE-004</t>
        </is>
      </c>
      <c r="F21" s="10" t="inlineStr">
        <is>
          <t>점수 시뮬레이터와 운영평가 분리</t>
        </is>
      </c>
      <c r="G21" s="26" t="inlineStr">
        <is>
          <t>Y</t>
        </is>
      </c>
      <c r="H21" s="26" t="inlineStr">
        <is>
          <t>PRC-PQG-050</t>
        </is>
      </c>
      <c r="I21" s="10" t="inlineStr">
        <is>
          <t>점수 시뮬레이션</t>
        </is>
      </c>
      <c r="J21" s="26" t="inlineStr">
        <is>
          <t>PQG-SIM-010-P1</t>
        </is>
      </c>
      <c r="K21" s="10" t="inlineStr">
        <is>
          <t>점수 시뮬레이터 창</t>
        </is>
      </c>
      <c r="L21" s="26" t="inlineStr">
        <is>
          <t>N/A</t>
        </is>
      </c>
      <c r="M21" s="10" t="inlineStr">
        <is>
          <t>N/A</t>
        </is>
      </c>
      <c r="N21" s="26" t="inlineStr">
        <is>
          <t>N/A</t>
        </is>
      </c>
      <c r="O21" s="10" t="inlineStr">
        <is>
          <t>N/A</t>
        </is>
      </c>
      <c r="P21" s="26" t="inlineStr">
        <is>
          <t>미정</t>
        </is>
      </c>
      <c r="Q21" s="26" t="inlineStr">
        <is>
          <t>미작성</t>
        </is>
      </c>
      <c r="R21" s="10" t="inlineStr">
        <is>
          <t>개발 단계 작성</t>
        </is>
      </c>
      <c r="S21" s="26" t="inlineStr">
        <is>
          <t>미작성</t>
        </is>
      </c>
      <c r="T21" s="10" t="inlineStr">
        <is>
          <t>테스트 단계 작성</t>
        </is>
      </c>
      <c r="U21" s="10" t="inlineStr">
        <is>
          <t>FE-E11 평가기준 설정 표시
FE-E13 점수 시뮬레이터</t>
        </is>
      </c>
      <c r="V21" s="10" t="inlineStr">
        <is>
          <t>BE:E05 평가기준 버전
BE:E06 위험평가 회차
BE:E07 평가요소</t>
        </is>
      </c>
      <c r="W21" s="27" t="inlineStr">
        <is>
          <t>DEC-07 DEC-09</t>
        </is>
      </c>
      <c r="X21" s="10" t="inlineStr">
        <is>
          <t>구현 제안 포함 / 결정 필요</t>
        </is>
      </c>
      <c r="Y21" s="27" t="inlineStr">
        <is>
          <t>화면+서버</t>
        </is>
      </c>
      <c r="Z21" s="27" t="inlineStr">
        <is>
          <t>FE-SCORE-004
BE-SCORE-003</t>
        </is>
      </c>
    </row>
    <row r="22" ht="182" customHeight="1">
      <c r="A22" s="26" t="n">
        <v>18</v>
      </c>
      <c r="B22" s="26" t="inlineStr">
        <is>
          <t>예방 품질 관리</t>
        </is>
      </c>
      <c r="C22" s="26" t="inlineStr">
        <is>
          <t>점검·증빙</t>
        </is>
      </c>
      <c r="D22" s="26" t="inlineStr">
        <is>
          <t>조회</t>
        </is>
      </c>
      <c r="E22" s="26" t="inlineStr">
        <is>
          <t>RQ-LL-001</t>
        </is>
      </c>
      <c r="F22" s="10" t="inlineStr">
        <is>
          <t>과거 교훈 기반 점검항목 구성과 표시</t>
        </is>
      </c>
      <c r="G22" s="26" t="inlineStr">
        <is>
          <t>Y</t>
        </is>
      </c>
      <c r="H22" s="26" t="inlineStr">
        <is>
          <t>PRC-PQG-060</t>
        </is>
      </c>
      <c r="I22" s="10" t="inlineStr">
        <is>
          <t>과거 교훈 점검·증빙 승인</t>
        </is>
      </c>
      <c r="J22" s="26" t="inlineStr">
        <is>
          <t>PQG-EQP-020-M1</t>
        </is>
      </c>
      <c r="K22" s="10" t="inlineStr">
        <is>
          <t>교훈 점검 탭</t>
        </is>
      </c>
      <c r="L22" s="26" t="inlineStr">
        <is>
          <t>N/A</t>
        </is>
      </c>
      <c r="M22" s="10" t="inlineStr">
        <is>
          <t>N/A</t>
        </is>
      </c>
      <c r="N22" s="26" t="inlineStr">
        <is>
          <t>N/A</t>
        </is>
      </c>
      <c r="O22" s="10" t="inlineStr">
        <is>
          <t>N/A</t>
        </is>
      </c>
      <c r="P22" s="26" t="inlineStr">
        <is>
          <t>미정</t>
        </is>
      </c>
      <c r="Q22" s="26" t="inlineStr">
        <is>
          <t>미작성</t>
        </is>
      </c>
      <c r="R22" s="10" t="inlineStr">
        <is>
          <t>개발 단계 작성</t>
        </is>
      </c>
      <c r="S22" s="26" t="inlineStr">
        <is>
          <t>미작성</t>
        </is>
      </c>
      <c r="T22" s="10" t="inlineStr">
        <is>
          <t>테스트 단계 작성</t>
        </is>
      </c>
      <c r="U22" s="10" t="inlineStr">
        <is>
          <t>FE-E04 기자재 목록 행
FE-E06 점검 항목 행
FE-E24 Gate 필수조건 행</t>
        </is>
      </c>
      <c r="V22" s="10" t="inlineStr">
        <is>
          <t>BE:E04 기자재
BE:E08 교훈기준 개정
BE:E09 기자재 점검항목
BE:E03 체계분류
BE:E05 평가기준 버전
BE:E06 위험평가 회차
BE:E19 발주 통제판단
BE:E20 발주 승인결정
BE:E10 점검 제출회차
BE:E22 첨부파일
BE:E14 사양비교 항목
BE 신설 요청(필수조건 판정 행)</t>
        </is>
      </c>
      <c r="W22" s="27" t="inlineStr">
        <is>
          <t>DEC-10 DEC-21</t>
        </is>
      </c>
      <c r="X22" s="10" t="inlineStr">
        <is>
          <t>구현 제안 포함 / 결정 필요</t>
        </is>
      </c>
      <c r="Y22" s="27" t="inlineStr">
        <is>
          <t>화면+서버</t>
        </is>
      </c>
      <c r="Z22" s="27" t="inlineStr">
        <is>
          <t>FE-LL-001
BE-LL-001</t>
        </is>
      </c>
    </row>
    <row r="23" ht="95" customHeight="1">
      <c r="A23" s="26" t="n">
        <v>19</v>
      </c>
      <c r="B23" s="26" t="inlineStr">
        <is>
          <t>예방 품질 관리</t>
        </is>
      </c>
      <c r="C23" s="26" t="inlineStr">
        <is>
          <t>점검·증빙</t>
        </is>
      </c>
      <c r="D23" s="26" t="inlineStr">
        <is>
          <t>등록</t>
        </is>
      </c>
      <c r="E23" s="26" t="inlineStr">
        <is>
          <t>RQ-LL-002</t>
        </is>
      </c>
      <c r="F23" s="10" t="inlineStr">
        <is>
          <t>증빙 업로드·확인 결과 제출과 저장</t>
        </is>
      </c>
      <c r="G23" s="26" t="inlineStr">
        <is>
          <t>Y</t>
        </is>
      </c>
      <c r="H23" s="26" t="inlineStr">
        <is>
          <t>PRC-PQG-060</t>
        </is>
      </c>
      <c r="I23" s="10" t="inlineStr">
        <is>
          <t>과거 교훈 점검·증빙 승인</t>
        </is>
      </c>
      <c r="J23" s="26" t="inlineStr">
        <is>
          <t>PQG-EQP-020-M1</t>
        </is>
      </c>
      <c r="K23" s="10" t="inlineStr">
        <is>
          <t>교훈 점검 탭</t>
        </is>
      </c>
      <c r="L23" s="26" t="inlineStr">
        <is>
          <t>N/A</t>
        </is>
      </c>
      <c r="M23" s="10" t="inlineStr">
        <is>
          <t>N/A</t>
        </is>
      </c>
      <c r="N23" s="26" t="inlineStr">
        <is>
          <t>N/A</t>
        </is>
      </c>
      <c r="O23" s="10" t="inlineStr">
        <is>
          <t>N/A</t>
        </is>
      </c>
      <c r="P23" s="26" t="inlineStr">
        <is>
          <t>미정</t>
        </is>
      </c>
      <c r="Q23" s="26" t="inlineStr">
        <is>
          <t>미작성</t>
        </is>
      </c>
      <c r="R23" s="10" t="inlineStr">
        <is>
          <t>개발 단계 작성</t>
        </is>
      </c>
      <c r="S23" s="26" t="inlineStr">
        <is>
          <t>미작성</t>
        </is>
      </c>
      <c r="T23" s="10" t="inlineStr">
        <is>
          <t>테스트 단계 작성</t>
        </is>
      </c>
      <c r="U23" s="10" t="inlineStr">
        <is>
          <t>FE-E06 점검 항목 행
FE-E07 점검 처리 입력
FE-E22 첨부 업로드 결과</t>
        </is>
      </c>
      <c r="V23" s="10" t="inlineStr">
        <is>
          <t>BE:E09 기자재 점검항목
BE:E10 점검 제출회차
BE:E11 점검 증빙연결
BE:E22 첨부파일
BE:E24 변경 감사이력
BE:E08 교훈기준 개정</t>
        </is>
      </c>
      <c r="W23" s="27" t="inlineStr">
        <is>
          <t>DEC-10 DEC-14</t>
        </is>
      </c>
      <c r="X23" s="10" t="inlineStr">
        <is>
          <t>구현 제안 포함 / 결정 필요</t>
        </is>
      </c>
      <c r="Y23" s="27" t="inlineStr">
        <is>
          <t>화면+서버</t>
        </is>
      </c>
      <c r="Z23" s="27" t="inlineStr">
        <is>
          <t>FE-LL-002
BE-LL-002</t>
        </is>
      </c>
    </row>
    <row r="24" ht="66" customHeight="1">
      <c r="A24" s="26" t="n">
        <v>20</v>
      </c>
      <c r="B24" s="26" t="inlineStr">
        <is>
          <t>예방 품질 관리</t>
        </is>
      </c>
      <c r="C24" s="26" t="inlineStr">
        <is>
          <t>점검·증빙</t>
        </is>
      </c>
      <c r="D24" s="26" t="inlineStr">
        <is>
          <t>요청</t>
        </is>
      </c>
      <c r="E24" s="26" t="inlineStr">
        <is>
          <t>RQ-LL-003</t>
        </is>
      </c>
      <c r="F24" s="10" t="inlineStr">
        <is>
          <t>품질 승인 요청</t>
        </is>
      </c>
      <c r="G24" s="26" t="inlineStr">
        <is>
          <t>Y</t>
        </is>
      </c>
      <c r="H24" s="26" t="inlineStr">
        <is>
          <t>PRC-PQG-060</t>
        </is>
      </c>
      <c r="I24" s="10" t="inlineStr">
        <is>
          <t>과거 교훈 점검·증빙 승인</t>
        </is>
      </c>
      <c r="J24" s="26" t="inlineStr">
        <is>
          <t>PQG-EQP-020-M1</t>
        </is>
      </c>
      <c r="K24" s="10" t="inlineStr">
        <is>
          <t>교훈 점검 탭</t>
        </is>
      </c>
      <c r="L24" s="26" t="inlineStr">
        <is>
          <t>N/A</t>
        </is>
      </c>
      <c r="M24" s="10" t="inlineStr">
        <is>
          <t>N/A</t>
        </is>
      </c>
      <c r="N24" s="26" t="inlineStr">
        <is>
          <t>N/A</t>
        </is>
      </c>
      <c r="O24" s="10" t="inlineStr">
        <is>
          <t>N/A</t>
        </is>
      </c>
      <c r="P24" s="26" t="inlineStr">
        <is>
          <t>미정</t>
        </is>
      </c>
      <c r="Q24" s="26" t="inlineStr">
        <is>
          <t>미작성</t>
        </is>
      </c>
      <c r="R24" s="10" t="inlineStr">
        <is>
          <t>개발 단계 작성</t>
        </is>
      </c>
      <c r="S24" s="26" t="inlineStr">
        <is>
          <t>미작성</t>
        </is>
      </c>
      <c r="T24" s="10" t="inlineStr">
        <is>
          <t>테스트 단계 작성</t>
        </is>
      </c>
      <c r="U24" s="10" t="inlineStr">
        <is>
          <t>FE-E06 점검 항목 행
FE-E08 점검 승인요청 입력</t>
        </is>
      </c>
      <c r="V24" s="10" t="inlineStr">
        <is>
          <t>BE:E08 교훈기준 개정
BE:E09 기자재 점검항목
BE:E10 점검 제출회차
BE:E22 첨부파일</t>
        </is>
      </c>
      <c r="W24" s="27" t="inlineStr">
        <is>
          <t>N/A</t>
        </is>
      </c>
      <c r="X24" s="10" t="inlineStr">
        <is>
          <t>구현 제안 포함 / 결정 필요</t>
        </is>
      </c>
      <c r="Y24" s="27" t="inlineStr">
        <is>
          <t>화면</t>
        </is>
      </c>
      <c r="Z24" s="27" t="inlineStr">
        <is>
          <t>FE-LL-003</t>
        </is>
      </c>
    </row>
    <row r="25" ht="95" customHeight="1">
      <c r="A25" s="26" t="n">
        <v>21</v>
      </c>
      <c r="B25" s="26" t="inlineStr">
        <is>
          <t>예방 품질 관리</t>
        </is>
      </c>
      <c r="C25" s="26" t="inlineStr">
        <is>
          <t>점검·증빙</t>
        </is>
      </c>
      <c r="D25" s="26" t="inlineStr">
        <is>
          <t>승인</t>
        </is>
      </c>
      <c r="E25" s="26" t="inlineStr">
        <is>
          <t>RQ-LL-004</t>
        </is>
      </c>
      <c r="F25" s="10" t="inlineStr">
        <is>
          <t>주요기자재 증빙 승인 판정</t>
        </is>
      </c>
      <c r="G25" s="26" t="inlineStr">
        <is>
          <t>Y</t>
        </is>
      </c>
      <c r="H25" s="26" t="inlineStr">
        <is>
          <t>PRC-PQG-060</t>
        </is>
      </c>
      <c r="I25" s="10" t="inlineStr">
        <is>
          <t>과거 교훈 점검·증빙 승인</t>
        </is>
      </c>
      <c r="J25" s="26" t="inlineStr">
        <is>
          <t>PQG-EQP-020-M1</t>
        </is>
      </c>
      <c r="K25" s="10" t="inlineStr">
        <is>
          <t>교훈 점검 탭</t>
        </is>
      </c>
      <c r="L25" s="26" t="inlineStr">
        <is>
          <t>N/A</t>
        </is>
      </c>
      <c r="M25" s="10" t="inlineStr">
        <is>
          <t>N/A</t>
        </is>
      </c>
      <c r="N25" s="26" t="inlineStr">
        <is>
          <t>N/A</t>
        </is>
      </c>
      <c r="O25" s="10" t="inlineStr">
        <is>
          <t>N/A</t>
        </is>
      </c>
      <c r="P25" s="26" t="inlineStr">
        <is>
          <t>미정</t>
        </is>
      </c>
      <c r="Q25" s="26" t="inlineStr">
        <is>
          <t>미작성</t>
        </is>
      </c>
      <c r="R25" s="10" t="inlineStr">
        <is>
          <t>개발 단계 작성</t>
        </is>
      </c>
      <c r="S25" s="26" t="inlineStr">
        <is>
          <t>미작성</t>
        </is>
      </c>
      <c r="T25" s="10" t="inlineStr">
        <is>
          <t>테스트 단계 작성</t>
        </is>
      </c>
      <c r="U25" s="10" t="inlineStr">
        <is>
          <t>FE-E06 점검 항목 행
FE-E21 점검 승인판정 입력</t>
        </is>
      </c>
      <c r="V25" s="10" t="inlineStr">
        <is>
          <t>BE:E09 기자재 점검항목
BE:E10 점검 제출회차
BE:E11 점검 증빙연결
BE:E12 점검 승인판정
BE:E22 첨부파일
BE:E08 교훈기준 개정</t>
        </is>
      </c>
      <c r="W25" s="27" t="inlineStr">
        <is>
          <t>DEC-01 DEC-10</t>
        </is>
      </c>
      <c r="X25" s="10" t="inlineStr">
        <is>
          <t>구현 제안 포함 / 결정 필요</t>
        </is>
      </c>
      <c r="Y25" s="27" t="inlineStr">
        <is>
          <t>화면+서버</t>
        </is>
      </c>
      <c r="Z25" s="27" t="inlineStr">
        <is>
          <t>FE-LL-004
BE-LL-003</t>
        </is>
      </c>
    </row>
    <row r="26" ht="153" customHeight="1">
      <c r="A26" s="26" t="n">
        <v>22</v>
      </c>
      <c r="B26" s="26" t="inlineStr">
        <is>
          <t>예방 품질 관리</t>
        </is>
      </c>
      <c r="C26" s="26" t="inlineStr">
        <is>
          <t>점검·증빙</t>
        </is>
      </c>
      <c r="D26" s="26" t="inlineStr">
        <is>
          <t>집계</t>
        </is>
      </c>
      <c r="E26" s="26" t="inlineStr">
        <is>
          <t>RQ-LL-005</t>
        </is>
      </c>
      <c r="F26" s="10" t="inlineStr">
        <is>
          <t>점검 완료 집계의 일관성</t>
        </is>
      </c>
      <c r="G26" s="26" t="inlineStr">
        <is>
          <t>Y</t>
        </is>
      </c>
      <c r="H26" s="26" t="inlineStr">
        <is>
          <t>PRC-PQG-060</t>
        </is>
      </c>
      <c r="I26" s="10" t="inlineStr">
        <is>
          <t>과거 교훈 점검·증빙 승인</t>
        </is>
      </c>
      <c r="J26" s="26" t="inlineStr">
        <is>
          <t>PQG-DSH-010-M1
PQG-EQP-020-M1</t>
        </is>
      </c>
      <c r="K26" s="10" t="inlineStr">
        <is>
          <t>대시보드(요약 카드·지표·위험 배너·체계분류 목록)
교훈 점검 탭</t>
        </is>
      </c>
      <c r="L26" s="26" t="inlineStr">
        <is>
          <t>N/A</t>
        </is>
      </c>
      <c r="M26" s="10" t="inlineStr">
        <is>
          <t>N/A</t>
        </is>
      </c>
      <c r="N26" s="26" t="inlineStr">
        <is>
          <t>N/A</t>
        </is>
      </c>
      <c r="O26" s="10" t="inlineStr">
        <is>
          <t>N/A</t>
        </is>
      </c>
      <c r="P26" s="26" t="inlineStr">
        <is>
          <t>미정</t>
        </is>
      </c>
      <c r="Q26" s="26" t="inlineStr">
        <is>
          <t>미작성</t>
        </is>
      </c>
      <c r="R26" s="10" t="inlineStr">
        <is>
          <t>개발 단계 작성</t>
        </is>
      </c>
      <c r="S26" s="26" t="inlineStr">
        <is>
          <t>미작성</t>
        </is>
      </c>
      <c r="T26" s="10" t="inlineStr">
        <is>
          <t>테스트 단계 작성</t>
        </is>
      </c>
      <c r="U26" s="10" t="inlineStr">
        <is>
          <t>FE-E03 대시보드 요약
FE-E05 위험 알림 행
FE-E06 점검 항목 행</t>
        </is>
      </c>
      <c r="V26" s="10" t="inlineStr">
        <is>
          <t>BE:E09 기자재 점검항목
BE:E10 점검 제출회차
BE:E12 점검 승인판정
BE:E19 발주 통제판단
BE:E02 기자재 담당배정
BE:E06 위험평가 회차
BE:E20 발주 승인결정
BE:E04 기자재
BE:E08 교훈기준 개정
BE:E22 첨부파일</t>
        </is>
      </c>
      <c r="W26" s="27" t="inlineStr">
        <is>
          <t>DEC-03</t>
        </is>
      </c>
      <c r="X26" s="10" t="inlineStr">
        <is>
          <t>구현 제안 포함 / 결정 필요</t>
        </is>
      </c>
      <c r="Y26" s="27" t="inlineStr">
        <is>
          <t>화면+서버</t>
        </is>
      </c>
      <c r="Z26" s="27" t="inlineStr">
        <is>
          <t>FE-LL-005
BE-DASH-002</t>
        </is>
      </c>
    </row>
    <row r="27" ht="66" customHeight="1">
      <c r="A27" s="26" t="n">
        <v>23</v>
      </c>
      <c r="B27" s="26" t="inlineStr">
        <is>
          <t>예방 품질 관리</t>
        </is>
      </c>
      <c r="C27" s="26" t="inlineStr">
        <is>
          <t>점검·증빙</t>
        </is>
      </c>
      <c r="D27" s="26" t="inlineStr">
        <is>
          <t>무결성</t>
        </is>
      </c>
      <c r="E27" s="26" t="inlineStr">
        <is>
          <t>RQ-LL-006</t>
        </is>
      </c>
      <c r="F27" s="10" t="inlineStr">
        <is>
          <t>점검상태 변경의 중복·동시처리 방지</t>
        </is>
      </c>
      <c r="G27" s="26" t="inlineStr">
        <is>
          <t>Y</t>
        </is>
      </c>
      <c r="H27" s="26" t="inlineStr">
        <is>
          <t>PRC-PQG-060</t>
        </is>
      </c>
      <c r="I27" s="10" t="inlineStr">
        <is>
          <t>과거 교훈 점검·증빙 승인</t>
        </is>
      </c>
      <c r="J27" s="26" t="inlineStr">
        <is>
          <t>PQG-EQP-020-M1</t>
        </is>
      </c>
      <c r="K27" s="10" t="inlineStr">
        <is>
          <t>교훈 점검 탭</t>
        </is>
      </c>
      <c r="L27" s="26" t="inlineStr">
        <is>
          <t>N/A</t>
        </is>
      </c>
      <c r="M27" s="10" t="inlineStr">
        <is>
          <t>N/A</t>
        </is>
      </c>
      <c r="N27" s="26" t="inlineStr">
        <is>
          <t>N/A</t>
        </is>
      </c>
      <c r="O27" s="10" t="inlineStr">
        <is>
          <t>N/A</t>
        </is>
      </c>
      <c r="P27" s="26" t="inlineStr">
        <is>
          <t>미정</t>
        </is>
      </c>
      <c r="Q27" s="26" t="inlineStr">
        <is>
          <t>미작성</t>
        </is>
      </c>
      <c r="R27" s="10" t="inlineStr">
        <is>
          <t>개발 단계 작성</t>
        </is>
      </c>
      <c r="S27" s="26" t="inlineStr">
        <is>
          <t>미작성</t>
        </is>
      </c>
      <c r="T27" s="10" t="inlineStr">
        <is>
          <t>테스트 단계 작성</t>
        </is>
      </c>
      <c r="U27" s="10" t="inlineStr">
        <is>
          <t>N/A</t>
        </is>
      </c>
      <c r="V27" s="10" t="inlineStr">
        <is>
          <t>BE:E09 기자재 점검항목
BE:E10 점검 제출회차
BE:E12 점검 승인판정
BE:E24 변경 감사이력</t>
        </is>
      </c>
      <c r="W27" s="27" t="inlineStr">
        <is>
          <t>DEC-10</t>
        </is>
      </c>
      <c r="X27" s="10" t="inlineStr">
        <is>
          <t>구현 제안 포함 / 결정 필요</t>
        </is>
      </c>
      <c r="Y27" s="27" t="inlineStr">
        <is>
          <t>서버</t>
        </is>
      </c>
      <c r="Z27" s="27" t="inlineStr">
        <is>
          <t>BE-LL-004</t>
        </is>
      </c>
    </row>
    <row r="28" ht="109.5" customHeight="1">
      <c r="A28" s="26" t="n">
        <v>24</v>
      </c>
      <c r="B28" s="26" t="inlineStr">
        <is>
          <t>예방 품질 관리</t>
        </is>
      </c>
      <c r="C28" s="26" t="inlineStr">
        <is>
          <t>점검·증빙</t>
        </is>
      </c>
      <c r="D28" s="26" t="inlineStr">
        <is>
          <t>조회</t>
        </is>
      </c>
      <c r="E28" s="26" t="inlineStr">
        <is>
          <t>RQ-LL-007</t>
        </is>
      </c>
      <c r="F28" s="10" t="inlineStr">
        <is>
          <t>점검항목별 증빙 제출 가능 시점 표시</t>
        </is>
      </c>
      <c r="G28" s="26" t="inlineStr">
        <is>
          <t>Y</t>
        </is>
      </c>
      <c r="H28" s="26" t="inlineStr">
        <is>
          <t>PRC-PQG-060</t>
        </is>
      </c>
      <c r="I28" s="10" t="inlineStr">
        <is>
          <t>과거 교훈 점검·증빙 승인</t>
        </is>
      </c>
      <c r="J28" s="26" t="inlineStr">
        <is>
          <t>PQG-EQP-020-M1</t>
        </is>
      </c>
      <c r="K28" s="10" t="inlineStr">
        <is>
          <t>교훈 점검 탭</t>
        </is>
      </c>
      <c r="L28" s="26" t="inlineStr">
        <is>
          <t>N/A</t>
        </is>
      </c>
      <c r="M28" s="10" t="inlineStr">
        <is>
          <t>N/A</t>
        </is>
      </c>
      <c r="N28" s="26" t="inlineStr">
        <is>
          <t>N/A</t>
        </is>
      </c>
      <c r="O28" s="10" t="inlineStr">
        <is>
          <t>N/A</t>
        </is>
      </c>
      <c r="P28" s="26" t="inlineStr">
        <is>
          <t>미정</t>
        </is>
      </c>
      <c r="Q28" s="26" t="inlineStr">
        <is>
          <t>미작성</t>
        </is>
      </c>
      <c r="R28" s="10" t="inlineStr">
        <is>
          <t>개발 단계 작성</t>
        </is>
      </c>
      <c r="S28" s="26" t="inlineStr">
        <is>
          <t>미작성</t>
        </is>
      </c>
      <c r="T28" s="10" t="inlineStr">
        <is>
          <t>테스트 단계 작성</t>
        </is>
      </c>
      <c r="U28" s="10" t="inlineStr">
        <is>
          <t>FE-E06 점검 항목 행
FE-E24 Gate 필수조건 행</t>
        </is>
      </c>
      <c r="V28" s="10" t="inlineStr">
        <is>
          <t>BE:E08 교훈기준 개정
BE:E09 기자재 점검항목
BE:E10 점검 제출회차
BE:E22 첨부파일
BE:E19 발주 통제판단
BE:E14 사양비교 항목
BE 신설 요청(필수조건 판정 행)</t>
        </is>
      </c>
      <c r="W28" s="27" t="inlineStr">
        <is>
          <t>DEC-21</t>
        </is>
      </c>
      <c r="X28" s="10" t="inlineStr">
        <is>
          <t>구현 제안 포함 / 결정 필요</t>
        </is>
      </c>
      <c r="Y28" s="27" t="inlineStr">
        <is>
          <t>화면</t>
        </is>
      </c>
      <c r="Z28" s="27" t="inlineStr">
        <is>
          <t>FE-LL-006</t>
        </is>
      </c>
    </row>
    <row r="29" ht="153" customHeight="1">
      <c r="A29" s="26" t="n">
        <v>25</v>
      </c>
      <c r="B29" s="26" t="inlineStr">
        <is>
          <t>예방 품질 관리</t>
        </is>
      </c>
      <c r="C29" s="26" t="inlineStr">
        <is>
          <t>사양비교·해명</t>
        </is>
      </c>
      <c r="D29" s="26" t="inlineStr">
        <is>
          <t>조회</t>
        </is>
      </c>
      <c r="E29" s="26" t="inlineStr">
        <is>
          <t>RQ-SPEC-001</t>
        </is>
      </c>
      <c r="F29" s="10" t="inlineStr">
        <is>
          <t>구매사양-공급업체 사양 비교 저장과 표시</t>
        </is>
      </c>
      <c r="G29" s="26" t="inlineStr">
        <is>
          <t>Y</t>
        </is>
      </c>
      <c r="H29" s="26" t="inlineStr">
        <is>
          <t>PRC-PQG-070</t>
        </is>
      </c>
      <c r="I29" s="10" t="inlineStr">
        <is>
          <t>사양 비교·해명·품질 판정</t>
        </is>
      </c>
      <c r="J29" s="26" t="inlineStr">
        <is>
          <t>PQG-EQP-030-M1</t>
        </is>
      </c>
      <c r="K29" s="10" t="inlineStr">
        <is>
          <t>사양 비교 탭</t>
        </is>
      </c>
      <c r="L29" s="26" t="inlineStr">
        <is>
          <t>N/A</t>
        </is>
      </c>
      <c r="M29" s="10" t="inlineStr">
        <is>
          <t>N/A</t>
        </is>
      </c>
      <c r="N29" s="26" t="inlineStr">
        <is>
          <t>미정</t>
        </is>
      </c>
      <c r="O29" s="10" t="inlineStr">
        <is>
          <t>제품수명주기관리 시스템 사양 데이터 수신(후보, DEC-11) - 목업은 화면 문구만 존재</t>
        </is>
      </c>
      <c r="P29" s="26" t="inlineStr">
        <is>
          <t>미정</t>
        </is>
      </c>
      <c r="Q29" s="26" t="inlineStr">
        <is>
          <t>미작성</t>
        </is>
      </c>
      <c r="R29" s="10" t="inlineStr">
        <is>
          <t>개발 단계 작성</t>
        </is>
      </c>
      <c r="S29" s="26" t="inlineStr">
        <is>
          <t>미작성</t>
        </is>
      </c>
      <c r="T29" s="10" t="inlineStr">
        <is>
          <t>테스트 단계 작성</t>
        </is>
      </c>
      <c r="U29" s="10" t="inlineStr">
        <is>
          <t>FE-E04 기자재 목록 행
FE-E14 사양 비교 행</t>
        </is>
      </c>
      <c r="V29" s="10" t="inlineStr">
        <is>
          <t>BE:E04 기자재
BE:E13 사양비교 개정
BE:E14 사양비교 항목
BE:E22 첨부파일
BE:E03 체계분류
BE:E05 평가기준 버전
BE:E06 위험평가 회차
BE:E19 발주 통제판단
BE:E20 발주 승인결정
BE:E15 사양 해명회차</t>
        </is>
      </c>
      <c r="W29" s="27" t="inlineStr">
        <is>
          <t>DEC-11</t>
        </is>
      </c>
      <c r="X29" s="10" t="inlineStr">
        <is>
          <t>구현 제안 포함 / 결정 필요</t>
        </is>
      </c>
      <c r="Y29" s="27" t="inlineStr">
        <is>
          <t>화면+서버</t>
        </is>
      </c>
      <c r="Z29" s="27" t="inlineStr">
        <is>
          <t>FE-SPEC-001
BE-SPEC-001</t>
        </is>
      </c>
    </row>
    <row r="30" ht="95" customHeight="1">
      <c r="A30" s="26" t="n">
        <v>26</v>
      </c>
      <c r="B30" s="26" t="inlineStr">
        <is>
          <t>예방 품질 관리</t>
        </is>
      </c>
      <c r="C30" s="26" t="inlineStr">
        <is>
          <t>사양비교·해명</t>
        </is>
      </c>
      <c r="D30" s="26" t="inlineStr">
        <is>
          <t>등록</t>
        </is>
      </c>
      <c r="E30" s="26" t="inlineStr">
        <is>
          <t>RQ-SPEC-002</t>
        </is>
      </c>
      <c r="F30" s="10" t="inlineStr">
        <is>
          <t>해명 제출·재제출과 회차 보존</t>
        </is>
      </c>
      <c r="G30" s="26" t="inlineStr">
        <is>
          <t>Y</t>
        </is>
      </c>
      <c r="H30" s="26" t="inlineStr">
        <is>
          <t>PRC-PQG-070</t>
        </is>
      </c>
      <c r="I30" s="10" t="inlineStr">
        <is>
          <t>사양 비교·해명·품질 판정</t>
        </is>
      </c>
      <c r="J30" s="26" t="inlineStr">
        <is>
          <t>PQG-EQP-031-P1</t>
        </is>
      </c>
      <c r="K30" s="10" t="inlineStr">
        <is>
          <t>사양 해명 작성·검토 창</t>
        </is>
      </c>
      <c r="L30" s="26" t="inlineStr">
        <is>
          <t>N/A</t>
        </is>
      </c>
      <c r="M30" s="10" t="inlineStr">
        <is>
          <t>N/A</t>
        </is>
      </c>
      <c r="N30" s="26" t="inlineStr">
        <is>
          <t>N/A</t>
        </is>
      </c>
      <c r="O30" s="10" t="inlineStr">
        <is>
          <t>N/A</t>
        </is>
      </c>
      <c r="P30" s="26" t="inlineStr">
        <is>
          <t>미정</t>
        </is>
      </c>
      <c r="Q30" s="26" t="inlineStr">
        <is>
          <t>미작성</t>
        </is>
      </c>
      <c r="R30" s="10" t="inlineStr">
        <is>
          <t>개발 단계 작성</t>
        </is>
      </c>
      <c r="S30" s="26" t="inlineStr">
        <is>
          <t>미작성</t>
        </is>
      </c>
      <c r="T30" s="10" t="inlineStr">
        <is>
          <t>테스트 단계 작성</t>
        </is>
      </c>
      <c r="U30" s="10" t="inlineStr">
        <is>
          <t>FE-E14 사양 비교 행
FE-E15 사양 해명 제출 입력
FE-E22 첨부 업로드 결과</t>
        </is>
      </c>
      <c r="V30" s="10" t="inlineStr">
        <is>
          <t>BE:E14 사양비교 항목
BE:E15 사양 해명회차
BE:E16 해명 첨부연결
BE:E18 해명 품질판정
BE:E13 사양비교 개정
BE:E22 첨부파일</t>
        </is>
      </c>
      <c r="W30" s="27" t="inlineStr">
        <is>
          <t>DEC-11 DEC-14</t>
        </is>
      </c>
      <c r="X30" s="10" t="inlineStr">
        <is>
          <t>구현 제안 포함 / 결정 필요</t>
        </is>
      </c>
      <c r="Y30" s="27" t="inlineStr">
        <is>
          <t>화면+서버</t>
        </is>
      </c>
      <c r="Z30" s="27" t="inlineStr">
        <is>
          <t>FE-SPEC-002
BE-SPEC-002</t>
        </is>
      </c>
    </row>
    <row r="31" ht="109.5" customHeight="1">
      <c r="A31" s="26" t="n">
        <v>27</v>
      </c>
      <c r="B31" s="26" t="inlineStr">
        <is>
          <t>예방 품질 관리</t>
        </is>
      </c>
      <c r="C31" s="26" t="inlineStr">
        <is>
          <t>사양비교·해명</t>
        </is>
      </c>
      <c r="D31" s="26" t="inlineStr">
        <is>
          <t>등록</t>
        </is>
      </c>
      <c r="E31" s="26" t="inlineStr">
        <is>
          <t>RQ-SPEC-003</t>
        </is>
      </c>
      <c r="F31" s="10" t="inlineStr">
        <is>
          <t>해명 첨부와 협의 의견 등록·저장</t>
        </is>
      </c>
      <c r="G31" s="26" t="inlineStr">
        <is>
          <t>Y</t>
        </is>
      </c>
      <c r="H31" s="26" t="inlineStr">
        <is>
          <t>PRC-PQG-070</t>
        </is>
      </c>
      <c r="I31" s="10" t="inlineStr">
        <is>
          <t>사양 비교·해명·품질 판정</t>
        </is>
      </c>
      <c r="J31" s="26" t="inlineStr">
        <is>
          <t>PQG-EQP-031-P1</t>
        </is>
      </c>
      <c r="K31" s="10" t="inlineStr">
        <is>
          <t>사양 해명 작성·검토 창</t>
        </is>
      </c>
      <c r="L31" s="26" t="inlineStr">
        <is>
          <t>N/A</t>
        </is>
      </c>
      <c r="M31" s="10" t="inlineStr">
        <is>
          <t>N/A</t>
        </is>
      </c>
      <c r="N31" s="26" t="inlineStr">
        <is>
          <t>N/A</t>
        </is>
      </c>
      <c r="O31" s="10" t="inlineStr">
        <is>
          <t>N/A</t>
        </is>
      </c>
      <c r="P31" s="26" t="inlineStr">
        <is>
          <t>미정</t>
        </is>
      </c>
      <c r="Q31" s="26" t="inlineStr">
        <is>
          <t>미작성</t>
        </is>
      </c>
      <c r="R31" s="10" t="inlineStr">
        <is>
          <t>개발 단계 작성</t>
        </is>
      </c>
      <c r="S31" s="26" t="inlineStr">
        <is>
          <t>미작성</t>
        </is>
      </c>
      <c r="T31" s="10" t="inlineStr">
        <is>
          <t>테스트 단계 작성</t>
        </is>
      </c>
      <c r="U31" s="10" t="inlineStr">
        <is>
          <t>FE-E14 사양 비교 행
FE-E17 협의 의견 행
FE-E18 협의 의견 등록 입력
FE-E22 첨부 업로드 결과</t>
        </is>
      </c>
      <c r="V31" s="10" t="inlineStr">
        <is>
          <t>BE:E14 사양비교 항목
BE:E15 사양 해명회차
BE:E16 해명 첨부연결
BE:E17 해명 협의의견
BE:E22 첨부파일
BE:E13 사양비교 개정
BE:E18 해명 품질판정</t>
        </is>
      </c>
      <c r="W31" s="27" t="inlineStr">
        <is>
          <t>DEC-11 DEC-14</t>
        </is>
      </c>
      <c r="X31" s="10" t="inlineStr">
        <is>
          <t>구현 제안 포함 / 결정 필요</t>
        </is>
      </c>
      <c r="Y31" s="27" t="inlineStr">
        <is>
          <t>화면+서버</t>
        </is>
      </c>
      <c r="Z31" s="27" t="inlineStr">
        <is>
          <t>FE-SPEC-003
BE-SPEC-003</t>
        </is>
      </c>
    </row>
    <row r="32" ht="95" customHeight="1">
      <c r="A32" s="26" t="n">
        <v>28</v>
      </c>
      <c r="B32" s="26" t="inlineStr">
        <is>
          <t>예방 품질 관리</t>
        </is>
      </c>
      <c r="C32" s="26" t="inlineStr">
        <is>
          <t>사양비교·해명</t>
        </is>
      </c>
      <c r="D32" s="26" t="inlineStr">
        <is>
          <t>판정</t>
        </is>
      </c>
      <c r="E32" s="26" t="inlineStr">
        <is>
          <t>RQ-SPEC-004</t>
        </is>
      </c>
      <c r="F32" s="10" t="inlineStr">
        <is>
          <t>품질 해명 판정(조건부 승인·반려)과 기록</t>
        </is>
      </c>
      <c r="G32" s="26" t="inlineStr">
        <is>
          <t>Y</t>
        </is>
      </c>
      <c r="H32" s="26" t="inlineStr">
        <is>
          <t>PRC-PQG-070</t>
        </is>
      </c>
      <c r="I32" s="10" t="inlineStr">
        <is>
          <t>사양 비교·해명·품질 판정</t>
        </is>
      </c>
      <c r="J32" s="26" t="inlineStr">
        <is>
          <t>PQG-EQP-031-P1
PQG-EQP-030-M1</t>
        </is>
      </c>
      <c r="K32" s="10" t="inlineStr">
        <is>
          <t>사양 해명 작성·검토 창
사양 비교 탭</t>
        </is>
      </c>
      <c r="L32" s="26" t="inlineStr">
        <is>
          <t>N/A</t>
        </is>
      </c>
      <c r="M32" s="10" t="inlineStr">
        <is>
          <t>N/A</t>
        </is>
      </c>
      <c r="N32" s="26" t="inlineStr">
        <is>
          <t>N/A</t>
        </is>
      </c>
      <c r="O32" s="10" t="inlineStr">
        <is>
          <t>N/A</t>
        </is>
      </c>
      <c r="P32" s="26" t="inlineStr">
        <is>
          <t>미정</t>
        </is>
      </c>
      <c r="Q32" s="26" t="inlineStr">
        <is>
          <t>미작성</t>
        </is>
      </c>
      <c r="R32" s="10" t="inlineStr">
        <is>
          <t>개발 단계 작성</t>
        </is>
      </c>
      <c r="S32" s="26" t="inlineStr">
        <is>
          <t>미작성</t>
        </is>
      </c>
      <c r="T32" s="10" t="inlineStr">
        <is>
          <t>테스트 단계 작성</t>
        </is>
      </c>
      <c r="U32" s="10" t="inlineStr">
        <is>
          <t>FE-E14 사양 비교 행
FE-E16 사양 해명 판정 입력</t>
        </is>
      </c>
      <c r="V32" s="10" t="inlineStr">
        <is>
          <t>BE:E14 사양비교 항목
BE:E15 사양 해명회차
BE:E17 해명 협의의견
BE:E18 해명 품질판정
BE:E24 변경 감사이력
BE:E13 사양비교 개정</t>
        </is>
      </c>
      <c r="W32" s="27" t="inlineStr">
        <is>
          <t>DEC-12</t>
        </is>
      </c>
      <c r="X32" s="10" t="inlineStr">
        <is>
          <t>구현 제안 포함 / 결정 필요</t>
        </is>
      </c>
      <c r="Y32" s="27" t="inlineStr">
        <is>
          <t>화면+서버</t>
        </is>
      </c>
      <c r="Z32" s="27" t="inlineStr">
        <is>
          <t>FE-SPEC-004
BE-SPEC-004</t>
        </is>
      </c>
    </row>
    <row r="33" ht="66" customHeight="1">
      <c r="A33" s="26" t="n">
        <v>29</v>
      </c>
      <c r="B33" s="26" t="inlineStr">
        <is>
          <t>예방 품질 관리</t>
        </is>
      </c>
      <c r="C33" s="26" t="inlineStr">
        <is>
          <t>사양비교·해명</t>
        </is>
      </c>
      <c r="D33" s="26" t="inlineStr">
        <is>
          <t>연계</t>
        </is>
      </c>
      <c r="E33" s="26" t="inlineStr">
        <is>
          <t>RQ-SPEC-005</t>
        </is>
      </c>
      <c r="F33" s="10" t="inlineStr">
        <is>
          <t>사양 비교 데이터 원천 일치</t>
        </is>
      </c>
      <c r="G33" s="26" t="inlineStr">
        <is>
          <t>Y</t>
        </is>
      </c>
      <c r="H33" s="26" t="inlineStr">
        <is>
          <t>PRC-PQG-070</t>
        </is>
      </c>
      <c r="I33" s="10" t="inlineStr">
        <is>
          <t>사양 비교·해명·품질 판정</t>
        </is>
      </c>
      <c r="J33" s="26" t="inlineStr">
        <is>
          <t>PQG-EQP-030-M1
PQG-EQP-031-P1</t>
        </is>
      </c>
      <c r="K33" s="10" t="inlineStr">
        <is>
          <t>사양 비교 탭
사양 해명 작성·검토 창</t>
        </is>
      </c>
      <c r="L33" s="26" t="inlineStr">
        <is>
          <t>N/A</t>
        </is>
      </c>
      <c r="M33" s="10" t="inlineStr">
        <is>
          <t>N/A</t>
        </is>
      </c>
      <c r="N33" s="26" t="inlineStr">
        <is>
          <t>미정</t>
        </is>
      </c>
      <c r="O33" s="10" t="inlineStr">
        <is>
          <t>제품수명주기관리 시스템 사양 데이터 수신(후보, DEC-11) - 목업은 화면 문구만 존재</t>
        </is>
      </c>
      <c r="P33" s="26" t="inlineStr">
        <is>
          <t>미정</t>
        </is>
      </c>
      <c r="Q33" s="26" t="inlineStr">
        <is>
          <t>미작성</t>
        </is>
      </c>
      <c r="R33" s="10" t="inlineStr">
        <is>
          <t>개발 단계 작성</t>
        </is>
      </c>
      <c r="S33" s="26" t="inlineStr">
        <is>
          <t>미작성</t>
        </is>
      </c>
      <c r="T33" s="10" t="inlineStr">
        <is>
          <t>테스트 단계 작성</t>
        </is>
      </c>
      <c r="U33" s="10" t="inlineStr">
        <is>
          <t>FE-E14 사양 비교 행
FE-E15 사양 해명 제출 입력</t>
        </is>
      </c>
      <c r="V33" s="10" t="inlineStr">
        <is>
          <t>BE:E13 사양비교 개정
BE:E14 사양비교 항목
BE:E15 사양 해명회차
BE:E16 해명 첨부연결</t>
        </is>
      </c>
      <c r="W33" s="27" t="inlineStr">
        <is>
          <t>DEC-11</t>
        </is>
      </c>
      <c r="X33" s="10" t="inlineStr">
        <is>
          <t>구현 제안 포함 / 결정 필요</t>
        </is>
      </c>
      <c r="Y33" s="27" t="inlineStr">
        <is>
          <t>화면</t>
        </is>
      </c>
      <c r="Z33" s="27" t="inlineStr">
        <is>
          <t>FE-SPEC-005</t>
        </is>
      </c>
    </row>
    <row r="34" ht="66" customHeight="1">
      <c r="A34" s="26" t="n">
        <v>30</v>
      </c>
      <c r="B34" s="26" t="inlineStr">
        <is>
          <t>예방 품질 관리</t>
        </is>
      </c>
      <c r="C34" s="26" t="inlineStr">
        <is>
          <t>사양비교·해명</t>
        </is>
      </c>
      <c r="D34" s="26" t="inlineStr">
        <is>
          <t>집계</t>
        </is>
      </c>
      <c r="E34" s="26" t="inlineStr">
        <is>
          <t>RQ-SPEC-006</t>
        </is>
      </c>
      <c r="F34" s="10" t="inlineStr">
        <is>
          <t>사양 비교 집계와 발주 판단 분리</t>
        </is>
      </c>
      <c r="G34" s="26" t="inlineStr">
        <is>
          <t>Y</t>
        </is>
      </c>
      <c r="H34" s="26" t="inlineStr">
        <is>
          <t>PRC-PQG-070</t>
        </is>
      </c>
      <c r="I34" s="10" t="inlineStr">
        <is>
          <t>사양 비교·해명·품질 판정</t>
        </is>
      </c>
      <c r="J34" s="26" t="inlineStr">
        <is>
          <t>PQG-DSH-010-M1
PQG-EQP-030-M1</t>
        </is>
      </c>
      <c r="K34" s="10" t="inlineStr">
        <is>
          <t>대시보드(요약 카드·지표·위험 배너·체계분류 목록)
사양 비교 탭</t>
        </is>
      </c>
      <c r="L34" s="26" t="inlineStr">
        <is>
          <t>N/A</t>
        </is>
      </c>
      <c r="M34" s="10" t="inlineStr">
        <is>
          <t>N/A</t>
        </is>
      </c>
      <c r="N34" s="26" t="inlineStr">
        <is>
          <t>N/A</t>
        </is>
      </c>
      <c r="O34" s="10" t="inlineStr">
        <is>
          <t>N/A</t>
        </is>
      </c>
      <c r="P34" s="26" t="inlineStr">
        <is>
          <t>미정</t>
        </is>
      </c>
      <c r="Q34" s="26" t="inlineStr">
        <is>
          <t>미작성</t>
        </is>
      </c>
      <c r="R34" s="10" t="inlineStr">
        <is>
          <t>개발 단계 작성</t>
        </is>
      </c>
      <c r="S34" s="26" t="inlineStr">
        <is>
          <t>미작성</t>
        </is>
      </c>
      <c r="T34" s="10" t="inlineStr">
        <is>
          <t>테스트 단계 작성</t>
        </is>
      </c>
      <c r="U34" s="10" t="inlineStr">
        <is>
          <t>N/A</t>
        </is>
      </c>
      <c r="V34" s="10" t="inlineStr">
        <is>
          <t>BE:E13 사양비교 개정
BE:E14 사양비교 항목
BE:E18 해명 품질판정
BE:E19 발주 통제판단</t>
        </is>
      </c>
      <c r="W34" s="27" t="inlineStr">
        <is>
          <t>DEC-12</t>
        </is>
      </c>
      <c r="X34" s="10" t="inlineStr">
        <is>
          <t>구현 제안 포함 / 결정 필요</t>
        </is>
      </c>
      <c r="Y34" s="27" t="inlineStr">
        <is>
          <t>서버</t>
        </is>
      </c>
      <c r="Z34" s="27" t="inlineStr">
        <is>
          <t>BE-SPEC-005</t>
        </is>
      </c>
    </row>
    <row r="35" ht="153" customHeight="1">
      <c r="A35" s="26" t="n">
        <v>31</v>
      </c>
      <c r="B35" s="26" t="inlineStr">
        <is>
          <t>예방 품질 관리</t>
        </is>
      </c>
      <c r="C35" s="26" t="inlineStr">
        <is>
          <t>발주통제</t>
        </is>
      </c>
      <c r="D35" s="26" t="inlineStr">
        <is>
          <t>조회</t>
        </is>
      </c>
      <c r="E35" s="26" t="inlineStr">
        <is>
          <t>RQ-GATE-001</t>
        </is>
      </c>
      <c r="F35" s="10" t="inlineStr">
        <is>
          <t>Gate 흐름 표시와 발주 통제 판단의 단일 근거</t>
        </is>
      </c>
      <c r="G35" s="26" t="inlineStr">
        <is>
          <t>Y</t>
        </is>
      </c>
      <c r="H35" s="26" t="inlineStr">
        <is>
          <t>PRC-PQG-080</t>
        </is>
      </c>
      <c r="I35" s="10" t="inlineStr">
        <is>
          <t>Gate 통제 판단·발주 진행 승인</t>
        </is>
      </c>
      <c r="J35" s="26" t="inlineStr">
        <is>
          <t>PQG-EQP-010-M1</t>
        </is>
      </c>
      <c r="K35" s="10" t="inlineStr">
        <is>
          <t>기자재 상세(상단 Gate 흐름·판단 영역)</t>
        </is>
      </c>
      <c r="L35" s="26" t="inlineStr">
        <is>
          <t>N/A</t>
        </is>
      </c>
      <c r="M35" s="10" t="inlineStr">
        <is>
          <t>N/A</t>
        </is>
      </c>
      <c r="N35" s="26" t="inlineStr">
        <is>
          <t>N/A</t>
        </is>
      </c>
      <c r="O35" s="10" t="inlineStr">
        <is>
          <t>N/A</t>
        </is>
      </c>
      <c r="P35" s="26" t="inlineStr">
        <is>
          <t>미정</t>
        </is>
      </c>
      <c r="Q35" s="26" t="inlineStr">
        <is>
          <t>미작성</t>
        </is>
      </c>
      <c r="R35" s="10" t="inlineStr">
        <is>
          <t>개발 단계 작성</t>
        </is>
      </c>
      <c r="S35" s="26" t="inlineStr">
        <is>
          <t>미작성</t>
        </is>
      </c>
      <c r="T35" s="10" t="inlineStr">
        <is>
          <t>테스트 단계 작성</t>
        </is>
      </c>
      <c r="U35" s="10" t="inlineStr">
        <is>
          <t>FE-E04 기자재 목록 행
FE-E09 위험도 산정 근거
FE-E23 Gate 정의 표시</t>
        </is>
      </c>
      <c r="V35" s="10" t="inlineStr">
        <is>
          <t>BE:E06 위험평가 회차
BE:E09 기자재 점검항목
BE:E13 사양비교 개정
BE:E19 발주 통제판단
BE:E20 발주 승인결정
BE:E03 체계분류
BE:E04 기자재
BE:E05 평가기준 버전
BE:E07 평가요소
BE 신설 요청(Gate 정의)</t>
        </is>
      </c>
      <c r="W35" s="27" t="inlineStr">
        <is>
          <t>DEC-13 DEC-17 DEC-20</t>
        </is>
      </c>
      <c r="X35" s="10" t="inlineStr">
        <is>
          <t>구현 제안 포함 / 결정 필요</t>
        </is>
      </c>
      <c r="Y35" s="27" t="inlineStr">
        <is>
          <t>화면+서버</t>
        </is>
      </c>
      <c r="Z35" s="27" t="inlineStr">
        <is>
          <t>FE-GATE-001
BE-GATE-001</t>
        </is>
      </c>
    </row>
    <row r="36" ht="109.5" customHeight="1">
      <c r="A36" s="26" t="n">
        <v>32</v>
      </c>
      <c r="B36" s="26" t="inlineStr">
        <is>
          <t>예방 품질 관리</t>
        </is>
      </c>
      <c r="C36" s="26" t="inlineStr">
        <is>
          <t>발주통제</t>
        </is>
      </c>
      <c r="D36" s="26" t="inlineStr">
        <is>
          <t>조회</t>
        </is>
      </c>
      <c r="E36" s="26" t="inlineStr">
        <is>
          <t>RQ-GATE-002</t>
        </is>
      </c>
      <c r="F36" s="10" t="inlineStr">
        <is>
          <t>목록·상세 종합상태 판정 통일</t>
        </is>
      </c>
      <c r="G36" s="26" t="inlineStr">
        <is>
          <t>Y</t>
        </is>
      </c>
      <c r="H36" s="26" t="inlineStr">
        <is>
          <t>PRC-PQG-080</t>
        </is>
      </c>
      <c r="I36" s="10" t="inlineStr">
        <is>
          <t>Gate 통제 판단·발주 진행 승인</t>
        </is>
      </c>
      <c r="J36" s="26" t="inlineStr">
        <is>
          <t>PQG-DSH-010-M1
PQG-EQP-010-M1</t>
        </is>
      </c>
      <c r="K36" s="10" t="inlineStr">
        <is>
          <t>대시보드(요약 카드·지표·위험 배너·체계분류 목록)
기자재 상세(상단 Gate 흐름·판단 영역)</t>
        </is>
      </c>
      <c r="L36" s="26" t="inlineStr">
        <is>
          <t>N/A</t>
        </is>
      </c>
      <c r="M36" s="10" t="inlineStr">
        <is>
          <t>N/A</t>
        </is>
      </c>
      <c r="N36" s="26" t="inlineStr">
        <is>
          <t>N/A</t>
        </is>
      </c>
      <c r="O36" s="10" t="inlineStr">
        <is>
          <t>N/A</t>
        </is>
      </c>
      <c r="P36" s="26" t="inlineStr">
        <is>
          <t>미정</t>
        </is>
      </c>
      <c r="Q36" s="26" t="inlineStr">
        <is>
          <t>미작성</t>
        </is>
      </c>
      <c r="R36" s="10" t="inlineStr">
        <is>
          <t>개발 단계 작성</t>
        </is>
      </c>
      <c r="S36" s="26" t="inlineStr">
        <is>
          <t>미작성</t>
        </is>
      </c>
      <c r="T36" s="10" t="inlineStr">
        <is>
          <t>테스트 단계 작성</t>
        </is>
      </c>
      <c r="U36" s="10" t="inlineStr">
        <is>
          <t>FE-E04 기자재 목록 행
FE-E09 위험도 산정 근거</t>
        </is>
      </c>
      <c r="V36" s="10" t="inlineStr">
        <is>
          <t>BE:E03 체계분류
BE:E04 기자재
BE:E05 평가기준 버전
BE:E06 위험평가 회차
BE:E19 발주 통제판단
BE:E20 발주 승인결정
BE:E07 평가요소</t>
        </is>
      </c>
      <c r="W36" s="27" t="inlineStr">
        <is>
          <t>DEC-13 DEC-22</t>
        </is>
      </c>
      <c r="X36" s="10" t="inlineStr">
        <is>
          <t>구현 제안 포함 / 결정 필요</t>
        </is>
      </c>
      <c r="Y36" s="27" t="inlineStr">
        <is>
          <t>화면</t>
        </is>
      </c>
      <c r="Z36" s="27" t="inlineStr">
        <is>
          <t>FE-GATE-002</t>
        </is>
      </c>
    </row>
    <row r="37" ht="182" customHeight="1">
      <c r="A37" s="26" t="n">
        <v>33</v>
      </c>
      <c r="B37" s="26" t="inlineStr">
        <is>
          <t>예방 품질 관리</t>
        </is>
      </c>
      <c r="C37" s="26" t="inlineStr">
        <is>
          <t>발주통제</t>
        </is>
      </c>
      <c r="D37" s="26" t="inlineStr">
        <is>
          <t>승인</t>
        </is>
      </c>
      <c r="E37" s="26" t="inlineStr">
        <is>
          <t>RQ-GATE-003</t>
        </is>
      </c>
      <c r="F37" s="10" t="inlineStr">
        <is>
          <t>정상 발주 승인</t>
        </is>
      </c>
      <c r="G37" s="26" t="inlineStr">
        <is>
          <t>Y</t>
        </is>
      </c>
      <c r="H37" s="26" t="inlineStr">
        <is>
          <t>PRC-PQG-080</t>
        </is>
      </c>
      <c r="I37" s="10" t="inlineStr">
        <is>
          <t>Gate 통제 판단·발주 진행 승인</t>
        </is>
      </c>
      <c r="J37" s="26" t="inlineStr">
        <is>
          <t>PQG-EQP-010-M1
PQG-EQP-050-P1</t>
        </is>
      </c>
      <c r="K37" s="10" t="inlineStr">
        <is>
          <t>기자재 상세(상단 Gate 흐름·판단 영역)
발주 진행 승인 입력 창(정상·조건부)</t>
        </is>
      </c>
      <c r="L37" s="26" t="inlineStr">
        <is>
          <t>N/A</t>
        </is>
      </c>
      <c r="M37" s="10" t="inlineStr">
        <is>
          <t>N/A</t>
        </is>
      </c>
      <c r="N37" s="26" t="inlineStr">
        <is>
          <t>미정</t>
        </is>
      </c>
      <c r="O37" s="10" t="inlineStr">
        <is>
          <t>기업자원관리 시스템 발주 진행 승인 결과 전달(후보, DEC-20)</t>
        </is>
      </c>
      <c r="P37" s="26" t="inlineStr">
        <is>
          <t>미정</t>
        </is>
      </c>
      <c r="Q37" s="26" t="inlineStr">
        <is>
          <t>미작성</t>
        </is>
      </c>
      <c r="R37" s="10" t="inlineStr">
        <is>
          <t>개발 단계 작성</t>
        </is>
      </c>
      <c r="S37" s="26" t="inlineStr">
        <is>
          <t>미작성</t>
        </is>
      </c>
      <c r="T37" s="10" t="inlineStr">
        <is>
          <t>테스트 단계 작성</t>
        </is>
      </c>
      <c r="U37" s="10" t="inlineStr">
        <is>
          <t>FE-E04 기자재 목록 행
FE-E19 발주 승인 입력
FE-E24 Gate 필수조건 행
FE-E28 외부 전달 상태</t>
        </is>
      </c>
      <c r="V37" s="10" t="inlineStr">
        <is>
          <t>BE:E19 발주 통제판단
BE:E20 발주 승인결정
BE:E24 변경 감사이력
BE:E03 체계분류
BE:E04 기자재
BE:E05 평가기준 버전
BE:E06 위험평가 회차
BE:E21 발주 예외조건
BE:E09 기자재 점검항목
BE:E14 사양비교 항목
BE 신설 요청(필수조건 판정 행)
BE 신설 요청(외부 전달 이력)</t>
        </is>
      </c>
      <c r="W37" s="27" t="inlineStr">
        <is>
          <t>DEC-13 DEC-20</t>
        </is>
      </c>
      <c r="X37" s="10" t="inlineStr">
        <is>
          <t>구현 제안 포함 / 결정 필요</t>
        </is>
      </c>
      <c r="Y37" s="27" t="inlineStr">
        <is>
          <t>화면+서버</t>
        </is>
      </c>
      <c r="Z37" s="27" t="inlineStr">
        <is>
          <t>FE-GATE-003
BE-GATE-002</t>
        </is>
      </c>
    </row>
    <row r="38" ht="182" customHeight="1">
      <c r="A38" s="26" t="n">
        <v>34</v>
      </c>
      <c r="B38" s="26" t="inlineStr">
        <is>
          <t>예방 품질 관리</t>
        </is>
      </c>
      <c r="C38" s="26" t="inlineStr">
        <is>
          <t>발주통제</t>
        </is>
      </c>
      <c r="D38" s="26" t="inlineStr">
        <is>
          <t>승인</t>
        </is>
      </c>
      <c r="E38" s="26" t="inlineStr">
        <is>
          <t>RQ-GATE-004</t>
        </is>
      </c>
      <c r="F38" s="10" t="inlineStr">
        <is>
          <t>조건부 발주 승인과 예외 사유 보존</t>
        </is>
      </c>
      <c r="G38" s="26" t="inlineStr">
        <is>
          <t>Y</t>
        </is>
      </c>
      <c r="H38" s="26" t="inlineStr">
        <is>
          <t>PRC-PQG-080</t>
        </is>
      </c>
      <c r="I38" s="10" t="inlineStr">
        <is>
          <t>Gate 통제 판단·발주 진행 승인</t>
        </is>
      </c>
      <c r="J38" s="26" t="inlineStr">
        <is>
          <t>PQG-EQP-010-M1
PQG-EQP-050-P1</t>
        </is>
      </c>
      <c r="K38" s="10" t="inlineStr">
        <is>
          <t>기자재 상세(상단 Gate 흐름·판단 영역)
발주 진행 승인 입력 창(정상·조건부)</t>
        </is>
      </c>
      <c r="L38" s="26" t="inlineStr">
        <is>
          <t>N/A</t>
        </is>
      </c>
      <c r="M38" s="10" t="inlineStr">
        <is>
          <t>N/A</t>
        </is>
      </c>
      <c r="N38" s="26" t="inlineStr">
        <is>
          <t>N/A</t>
        </is>
      </c>
      <c r="O38" s="10" t="inlineStr">
        <is>
          <t>N/A</t>
        </is>
      </c>
      <c r="P38" s="26" t="inlineStr">
        <is>
          <t>미정</t>
        </is>
      </c>
      <c r="Q38" s="26" t="inlineStr">
        <is>
          <t>미작성</t>
        </is>
      </c>
      <c r="R38" s="10" t="inlineStr">
        <is>
          <t>개발 단계 작성</t>
        </is>
      </c>
      <c r="S38" s="26" t="inlineStr">
        <is>
          <t>미작성</t>
        </is>
      </c>
      <c r="T38" s="10" t="inlineStr">
        <is>
          <t>테스트 단계 작성</t>
        </is>
      </c>
      <c r="U38" s="10" t="inlineStr">
        <is>
          <t>FE-E04 기자재 목록 행
FE-E19 발주 승인 입력
FE-E24 Gate 필수조건 행
FE-E25 조건부 통과 잔여조건 행</t>
        </is>
      </c>
      <c r="V38" s="10" t="inlineStr">
        <is>
          <t>BE:E09 기자재 점검항목
BE:E14 사양비교 항목
BE:E18 해명 품질판정
BE:E19 발주 통제판단
BE:E20 발주 승인결정
BE:E21 발주 예외조건
BE:E24 변경 감사이력
BE:E03 체계분류
BE:E04 기자재
BE:E05 평가기준 버전
BE:E06 위험평가 회차
BE 신설 요청(필수조건 판정 행)</t>
        </is>
      </c>
      <c r="W38" s="27" t="inlineStr">
        <is>
          <t>DEC-12 DEC-13 DEC-23</t>
        </is>
      </c>
      <c r="X38" s="10" t="inlineStr">
        <is>
          <t>구현 제안 포함 / 결정 필요</t>
        </is>
      </c>
      <c r="Y38" s="27" t="inlineStr">
        <is>
          <t>화면+서버</t>
        </is>
      </c>
      <c r="Z38" s="27" t="inlineStr">
        <is>
          <t>FE-GATE-004
BE-GATE-003</t>
        </is>
      </c>
    </row>
    <row r="39" ht="80.5" customHeight="1">
      <c r="A39" s="26" t="n">
        <v>35</v>
      </c>
      <c r="B39" s="26" t="inlineStr">
        <is>
          <t>예방 품질 관리</t>
        </is>
      </c>
      <c r="C39" s="26" t="inlineStr">
        <is>
          <t>발주통제</t>
        </is>
      </c>
      <c r="D39" s="26" t="inlineStr">
        <is>
          <t>조회</t>
        </is>
      </c>
      <c r="E39" s="26" t="inlineStr">
        <is>
          <t>RQ-GATE-005</t>
        </is>
      </c>
      <c r="F39" s="10" t="inlineStr">
        <is>
          <t>발주 승인 후 위험 배너 제외</t>
        </is>
      </c>
      <c r="G39" s="26" t="inlineStr">
        <is>
          <t>Y</t>
        </is>
      </c>
      <c r="H39" s="26" t="inlineStr">
        <is>
          <t>PRC-PQG-080</t>
        </is>
      </c>
      <c r="I39" s="10" t="inlineStr">
        <is>
          <t>Gate 통제 판단·발주 진행 승인</t>
        </is>
      </c>
      <c r="J39" s="26" t="inlineStr">
        <is>
          <t>PQG-DSH-010-M1</t>
        </is>
      </c>
      <c r="K39" s="10" t="inlineStr">
        <is>
          <t>대시보드(요약 카드·지표·위험 배너·체계분류 목록)</t>
        </is>
      </c>
      <c r="L39" s="26" t="inlineStr">
        <is>
          <t>N/A</t>
        </is>
      </c>
      <c r="M39" s="10" t="inlineStr">
        <is>
          <t>N/A</t>
        </is>
      </c>
      <c r="N39" s="26" t="inlineStr">
        <is>
          <t>N/A</t>
        </is>
      </c>
      <c r="O39" s="10" t="inlineStr">
        <is>
          <t>N/A</t>
        </is>
      </c>
      <c r="P39" s="26" t="inlineStr">
        <is>
          <t>미정</t>
        </is>
      </c>
      <c r="Q39" s="26" t="inlineStr">
        <is>
          <t>미작성</t>
        </is>
      </c>
      <c r="R39" s="10" t="inlineStr">
        <is>
          <t>개발 단계 작성</t>
        </is>
      </c>
      <c r="S39" s="26" t="inlineStr">
        <is>
          <t>미작성</t>
        </is>
      </c>
      <c r="T39" s="10" t="inlineStr">
        <is>
          <t>테스트 단계 작성</t>
        </is>
      </c>
      <c r="U39" s="10" t="inlineStr">
        <is>
          <t>FE-E05 위험 알림 행
FE-E19 발주 승인 입력</t>
        </is>
      </c>
      <c r="V39" s="10" t="inlineStr">
        <is>
          <t>BE:E04 기자재
BE:E06 위험평가 회차
BE:E19 발주 통제판단
BE:E20 발주 승인결정
BE:E21 발주 예외조건</t>
        </is>
      </c>
      <c r="W39" s="27" t="inlineStr">
        <is>
          <t>N/A</t>
        </is>
      </c>
      <c r="X39" s="10" t="inlineStr">
        <is>
          <t>목업 동작 확인 / 업무 미승인</t>
        </is>
      </c>
      <c r="Y39" s="27" t="inlineStr">
        <is>
          <t>화면</t>
        </is>
      </c>
      <c r="Z39" s="27" t="inlineStr">
        <is>
          <t>FE-GATE-005</t>
        </is>
      </c>
    </row>
    <row r="40" ht="109.5" customHeight="1">
      <c r="A40" s="26" t="n">
        <v>36</v>
      </c>
      <c r="B40" s="26" t="inlineStr">
        <is>
          <t>예방 품질 관리</t>
        </is>
      </c>
      <c r="C40" s="26" t="inlineStr">
        <is>
          <t>발주통제</t>
        </is>
      </c>
      <c r="D40" s="26" t="inlineStr">
        <is>
          <t>조회</t>
        </is>
      </c>
      <c r="E40" s="26" t="inlineStr">
        <is>
          <t>RQ-GATE-006</t>
        </is>
      </c>
      <c r="F40" s="10" t="inlineStr">
        <is>
          <t>Gate 통제 위치와 통제 대상 행위 표시</t>
        </is>
      </c>
      <c r="G40" s="26" t="inlineStr">
        <is>
          <t>Y</t>
        </is>
      </c>
      <c r="H40" s="26" t="inlineStr">
        <is>
          <t>PRC-PQG-080</t>
        </is>
      </c>
      <c r="I40" s="10" t="inlineStr">
        <is>
          <t>Gate 통제 판단·발주 진행 승인</t>
        </is>
      </c>
      <c r="J40" s="26" t="inlineStr">
        <is>
          <t>PQG-EQP-010-M1</t>
        </is>
      </c>
      <c r="K40" s="10" t="inlineStr">
        <is>
          <t>기자재 상세(상단 Gate 흐름·판단 영역)</t>
        </is>
      </c>
      <c r="L40" s="26" t="inlineStr">
        <is>
          <t>N/A</t>
        </is>
      </c>
      <c r="M40" s="10" t="inlineStr">
        <is>
          <t>N/A</t>
        </is>
      </c>
      <c r="N40" s="26" t="inlineStr">
        <is>
          <t>N/A</t>
        </is>
      </c>
      <c r="O40" s="10" t="inlineStr">
        <is>
          <t>N/A</t>
        </is>
      </c>
      <c r="P40" s="26" t="inlineStr">
        <is>
          <t>미정</t>
        </is>
      </c>
      <c r="Q40" s="26" t="inlineStr">
        <is>
          <t>미작성</t>
        </is>
      </c>
      <c r="R40" s="10" t="inlineStr">
        <is>
          <t>개발 단계 작성</t>
        </is>
      </c>
      <c r="S40" s="26" t="inlineStr">
        <is>
          <t>미작성</t>
        </is>
      </c>
      <c r="T40" s="10" t="inlineStr">
        <is>
          <t>테스트 단계 작성</t>
        </is>
      </c>
      <c r="U40" s="10" t="inlineStr">
        <is>
          <t>FE-E23 Gate 정의 표시
FE-E04 기자재 목록 행</t>
        </is>
      </c>
      <c r="V40" s="10" t="inlineStr">
        <is>
          <t>BE 신설 요청(Gate 정의)
BE:E03 체계분류
BE:E04 기자재
BE:E05 평가기준 버전
BE:E06 위험평가 회차
BE:E19 발주 통제판단
BE:E20 발주 승인결정</t>
        </is>
      </c>
      <c r="W40" s="27" t="inlineStr">
        <is>
          <t>DEC-17 DEC-24</t>
        </is>
      </c>
      <c r="X40" s="10" t="inlineStr">
        <is>
          <t>구현 제안 포함 / 결정 필요</t>
        </is>
      </c>
      <c r="Y40" s="27" t="inlineStr">
        <is>
          <t>화면</t>
        </is>
      </c>
      <c r="Z40" s="27" t="inlineStr">
        <is>
          <t>FE-GATE-006</t>
        </is>
      </c>
    </row>
    <row r="41" ht="109.5" customHeight="1">
      <c r="A41" s="26" t="n">
        <v>37</v>
      </c>
      <c r="B41" s="26" t="inlineStr">
        <is>
          <t>예방 품질 관리</t>
        </is>
      </c>
      <c r="C41" s="26" t="inlineStr">
        <is>
          <t>발주통제</t>
        </is>
      </c>
      <c r="D41" s="26" t="inlineStr">
        <is>
          <t>조회</t>
        </is>
      </c>
      <c r="E41" s="26" t="inlineStr">
        <is>
          <t>RQ-GATE-007</t>
        </is>
      </c>
      <c r="F41" s="10" t="inlineStr">
        <is>
          <t>Gate 판단결과 5종 구분 표시와 통과 범위 안내</t>
        </is>
      </c>
      <c r="G41" s="26" t="inlineStr">
        <is>
          <t>Y</t>
        </is>
      </c>
      <c r="H41" s="26" t="inlineStr">
        <is>
          <t>PRC-PQG-080</t>
        </is>
      </c>
      <c r="I41" s="10" t="inlineStr">
        <is>
          <t>Gate 통제 판단·발주 진행 승인</t>
        </is>
      </c>
      <c r="J41" s="26" t="inlineStr">
        <is>
          <t>PQG-DSH-010-M1
PQG-EQP-010-M1</t>
        </is>
      </c>
      <c r="K41" s="10" t="inlineStr">
        <is>
          <t>대시보드(요약 카드·지표·위험 배너·체계분류 목록)
기자재 상세(상단 Gate 흐름·판단 영역)</t>
        </is>
      </c>
      <c r="L41" s="26" t="inlineStr">
        <is>
          <t>N/A</t>
        </is>
      </c>
      <c r="M41" s="10" t="inlineStr">
        <is>
          <t>N/A</t>
        </is>
      </c>
      <c r="N41" s="26" t="inlineStr">
        <is>
          <t>N/A</t>
        </is>
      </c>
      <c r="O41" s="10" t="inlineStr">
        <is>
          <t>N/A</t>
        </is>
      </c>
      <c r="P41" s="26" t="inlineStr">
        <is>
          <t>미정</t>
        </is>
      </c>
      <c r="Q41" s="26" t="inlineStr">
        <is>
          <t>미작성</t>
        </is>
      </c>
      <c r="R41" s="10" t="inlineStr">
        <is>
          <t>개발 단계 작성</t>
        </is>
      </c>
      <c r="S41" s="26" t="inlineStr">
        <is>
          <t>미작성</t>
        </is>
      </c>
      <c r="T41" s="10" t="inlineStr">
        <is>
          <t>테스트 단계 작성</t>
        </is>
      </c>
      <c r="U41" s="10" t="inlineStr">
        <is>
          <t>FE-E04 기자재 목록 행
FE-E05 위험 알림 행
FE-E23 Gate 정의 표시</t>
        </is>
      </c>
      <c r="V41" s="10" t="inlineStr">
        <is>
          <t>BE:E03 체계분류
BE:E04 기자재
BE:E05 평가기준 버전
BE:E06 위험평가 회차
BE:E19 발주 통제판단
BE:E20 발주 승인결정
BE 신설 요청(Gate 정의)</t>
        </is>
      </c>
      <c r="W41" s="27" t="inlineStr">
        <is>
          <t>DEC-13 DEC-22</t>
        </is>
      </c>
      <c r="X41" s="10" t="inlineStr">
        <is>
          <t>구현 제안 포함 / 결정 필요</t>
        </is>
      </c>
      <c r="Y41" s="27" t="inlineStr">
        <is>
          <t>화면</t>
        </is>
      </c>
      <c r="Z41" s="27" t="inlineStr">
        <is>
          <t>FE-GATE-007</t>
        </is>
      </c>
    </row>
    <row r="42" ht="138.5" customHeight="1">
      <c r="A42" s="26" t="n">
        <v>38</v>
      </c>
      <c r="B42" s="26" t="inlineStr">
        <is>
          <t>예방 품질 관리</t>
        </is>
      </c>
      <c r="C42" s="26" t="inlineStr">
        <is>
          <t>발주통제</t>
        </is>
      </c>
      <c r="D42" s="26" t="inlineStr">
        <is>
          <t>조회</t>
        </is>
      </c>
      <c r="E42" s="26" t="inlineStr">
        <is>
          <t>RQ-GATE-008</t>
        </is>
      </c>
      <c r="F42" s="10" t="inlineStr">
        <is>
          <t>Gate 필수조건 충족 현황 표시</t>
        </is>
      </c>
      <c r="G42" s="26" t="inlineStr">
        <is>
          <t>Y</t>
        </is>
      </c>
      <c r="H42" s="26" t="inlineStr">
        <is>
          <t>PRC-PQG-080</t>
        </is>
      </c>
      <c r="I42" s="10" t="inlineStr">
        <is>
          <t>Gate 통제 판단·발주 진행 승인</t>
        </is>
      </c>
      <c r="J42" s="26" t="inlineStr">
        <is>
          <t>PQG-EQP-060-M1
PQG-EQP-020-M1
PQG-EQP-030-M1</t>
        </is>
      </c>
      <c r="K42" s="10" t="inlineStr">
        <is>
          <t>Gate 필수조건·판단 단계 영역
교훈 점검 탭
사양 비교 탭</t>
        </is>
      </c>
      <c r="L42" s="26" t="inlineStr">
        <is>
          <t>N/A</t>
        </is>
      </c>
      <c r="M42" s="10" t="inlineStr">
        <is>
          <t>N/A</t>
        </is>
      </c>
      <c r="N42" s="26" t="inlineStr">
        <is>
          <t>N/A</t>
        </is>
      </c>
      <c r="O42" s="10" t="inlineStr">
        <is>
          <t>N/A</t>
        </is>
      </c>
      <c r="P42" s="26" t="inlineStr">
        <is>
          <t>미정</t>
        </is>
      </c>
      <c r="Q42" s="26" t="inlineStr">
        <is>
          <t>미작성</t>
        </is>
      </c>
      <c r="R42" s="10" t="inlineStr">
        <is>
          <t>개발 단계 작성</t>
        </is>
      </c>
      <c r="S42" s="26" t="inlineStr">
        <is>
          <t>미작성</t>
        </is>
      </c>
      <c r="T42" s="10" t="inlineStr">
        <is>
          <t>테스트 단계 작성</t>
        </is>
      </c>
      <c r="U42" s="10" t="inlineStr">
        <is>
          <t>FE-E24 Gate 필수조건 행
FE-E06 점검 항목 행
FE-E14 사양 비교 행</t>
        </is>
      </c>
      <c r="V42" s="10" t="inlineStr">
        <is>
          <t>BE:E19 발주 통제판단
BE:E09 기자재 점검항목
BE:E14 사양비교 항목
BE 신설 요청(필수조건 판정 행)
BE:E08 교훈기준 개정
BE:E10 점검 제출회차
BE:E22 첨부파일
BE:E13 사양비교 개정
BE:E15 사양 해명회차</t>
        </is>
      </c>
      <c r="W42" s="27" t="inlineStr">
        <is>
          <t>DEC-03 DEC-21</t>
        </is>
      </c>
      <c r="X42" s="10" t="inlineStr">
        <is>
          <t>구현 제안 포함 / 결정 필요</t>
        </is>
      </c>
      <c r="Y42" s="27" t="inlineStr">
        <is>
          <t>화면</t>
        </is>
      </c>
      <c r="Z42" s="27" t="inlineStr">
        <is>
          <t>FE-GATE-008</t>
        </is>
      </c>
    </row>
    <row r="43" ht="80.5" customHeight="1">
      <c r="A43" s="26" t="n">
        <v>39</v>
      </c>
      <c r="B43" s="26" t="inlineStr">
        <is>
          <t>예방 품질 관리</t>
        </is>
      </c>
      <c r="C43" s="26" t="inlineStr">
        <is>
          <t>발주통제</t>
        </is>
      </c>
      <c r="D43" s="26" t="inlineStr">
        <is>
          <t>이행 처리</t>
        </is>
      </c>
      <c r="E43" s="26" t="inlineStr">
        <is>
          <t>RQ-GATE-009</t>
        </is>
      </c>
      <c r="F43" s="10" t="inlineStr">
        <is>
          <t>조건부 통과 잔여조건 추적과 이행 처리</t>
        </is>
      </c>
      <c r="G43" s="26" t="inlineStr">
        <is>
          <t>Y</t>
        </is>
      </c>
      <c r="H43" s="26" t="inlineStr">
        <is>
          <t>PRC-PQG-090</t>
        </is>
      </c>
      <c r="I43" s="10" t="inlineStr">
        <is>
          <t>조건부 통과 잔여조건 관리</t>
        </is>
      </c>
      <c r="J43" s="26" t="inlineStr">
        <is>
          <t>PQG-EQP-070-M1</t>
        </is>
      </c>
      <c r="K43" s="10" t="inlineStr">
        <is>
          <t>조건부 통과 잔여조건 영역</t>
        </is>
      </c>
      <c r="L43" s="26" t="inlineStr">
        <is>
          <t>미정</t>
        </is>
      </c>
      <c r="M43" s="10" t="inlineStr">
        <is>
          <t>잔여조건 보완기한 경과 판정(후보, DEC-23)</t>
        </is>
      </c>
      <c r="N43" s="26" t="inlineStr">
        <is>
          <t>N/A</t>
        </is>
      </c>
      <c r="O43" s="10" t="inlineStr">
        <is>
          <t>N/A</t>
        </is>
      </c>
      <c r="P43" s="26" t="inlineStr">
        <is>
          <t>미정</t>
        </is>
      </c>
      <c r="Q43" s="26" t="inlineStr">
        <is>
          <t>미작성</t>
        </is>
      </c>
      <c r="R43" s="10" t="inlineStr">
        <is>
          <t>개발 단계 작성</t>
        </is>
      </c>
      <c r="S43" s="26" t="inlineStr">
        <is>
          <t>미작성</t>
        </is>
      </c>
      <c r="T43" s="10" t="inlineStr">
        <is>
          <t>테스트 단계 작성</t>
        </is>
      </c>
      <c r="U43" s="10" t="inlineStr">
        <is>
          <t>FE-E25 조건부 통과 잔여조건 행
FE-E29 잔여조건 이행 처리 입력
FE-E19 발주 승인 입력
FE-E22 첨부 업로드 결과</t>
        </is>
      </c>
      <c r="V43" s="10" t="inlineStr">
        <is>
          <t>BE:E21 발주 예외조건
BE:E20 발주 승인결정
BE 신설 요청(이행 처리 이력)
BE:E22 첨부파일
BE:E19 발주 통제판단</t>
        </is>
      </c>
      <c r="W43" s="27" t="inlineStr">
        <is>
          <t>DEC-13 DEC-23 DEC-24</t>
        </is>
      </c>
      <c r="X43" s="10" t="inlineStr">
        <is>
          <t>구현 제안 포함 / 결정 필요</t>
        </is>
      </c>
      <c r="Y43" s="27" t="inlineStr">
        <is>
          <t>화면</t>
        </is>
      </c>
      <c r="Z43" s="27" t="inlineStr">
        <is>
          <t>FE-GATE-009</t>
        </is>
      </c>
    </row>
    <row r="44" ht="124" customHeight="1">
      <c r="A44" s="26" t="n">
        <v>40</v>
      </c>
      <c r="B44" s="26" t="inlineStr">
        <is>
          <t>예방 품질 관리</t>
        </is>
      </c>
      <c r="C44" s="26" t="inlineStr">
        <is>
          <t>발주통제</t>
        </is>
      </c>
      <c r="D44" s="26" t="inlineStr">
        <is>
          <t>변경 관리</t>
        </is>
      </c>
      <c r="E44" s="26" t="inlineStr">
        <is>
          <t>RQ-GATE-010</t>
        </is>
      </c>
      <c r="F44" s="10" t="inlineStr">
        <is>
          <t>승인 후 변경 발생 시 재검토 필요 표시</t>
        </is>
      </c>
      <c r="G44" s="26" t="inlineStr">
        <is>
          <t>Y</t>
        </is>
      </c>
      <c r="H44" s="26" t="inlineStr">
        <is>
          <t>PRC-PQG-100</t>
        </is>
      </c>
      <c r="I44" s="10" t="inlineStr">
        <is>
          <t>승인 후 변경 재검토</t>
        </is>
      </c>
      <c r="J44" s="26" t="inlineStr">
        <is>
          <t>PQG-DSH-010-M1
PQG-EQP-010-M1</t>
        </is>
      </c>
      <c r="K44" s="10" t="inlineStr">
        <is>
          <t>대시보드(요약 카드·지표·위험 배너·체계분류 목록)
기자재 상세(상단 Gate 흐름·판단 영역)</t>
        </is>
      </c>
      <c r="L44" s="26" t="inlineStr">
        <is>
          <t>미정</t>
        </is>
      </c>
      <c r="M44" s="10" t="inlineStr">
        <is>
          <t>승인 후 변경 감지·재검토 생성(후보, DEC-19)</t>
        </is>
      </c>
      <c r="N44" s="26" t="inlineStr">
        <is>
          <t>N/A</t>
        </is>
      </c>
      <c r="O44" s="10" t="inlineStr">
        <is>
          <t>N/A</t>
        </is>
      </c>
      <c r="P44" s="26" t="inlineStr">
        <is>
          <t>미정</t>
        </is>
      </c>
      <c r="Q44" s="26" t="inlineStr">
        <is>
          <t>미작성</t>
        </is>
      </c>
      <c r="R44" s="10" t="inlineStr">
        <is>
          <t>개발 단계 작성</t>
        </is>
      </c>
      <c r="S44" s="26" t="inlineStr">
        <is>
          <t>미작성</t>
        </is>
      </c>
      <c r="T44" s="10" t="inlineStr">
        <is>
          <t>테스트 단계 작성</t>
        </is>
      </c>
      <c r="U44" s="10" t="inlineStr">
        <is>
          <t>FE-E27 재검토 필요 행
FE-E04 기자재 목록 행</t>
        </is>
      </c>
      <c r="V44" s="10" t="inlineStr">
        <is>
          <t>BE 신설 요청(재검토 요청)
BE:E24 변경 감사이력
BE:E03 체계분류
BE:E04 기자재
BE:E05 평가기준 버전
BE:E06 위험평가 회차
BE:E19 발주 통제판단
BE:E20 발주 승인결정</t>
        </is>
      </c>
      <c r="W44" s="27" t="inlineStr">
        <is>
          <t>DEC-19</t>
        </is>
      </c>
      <c r="X44" s="10" t="inlineStr">
        <is>
          <t>구현 제안 포함 / 결정 필요</t>
        </is>
      </c>
      <c r="Y44" s="27" t="inlineStr">
        <is>
          <t>화면</t>
        </is>
      </c>
      <c r="Z44" s="27" t="inlineStr">
        <is>
          <t>FE-GATE-010</t>
        </is>
      </c>
    </row>
    <row r="45" ht="124" customHeight="1">
      <c r="A45" s="26" t="n">
        <v>41</v>
      </c>
      <c r="B45" s="26" t="inlineStr">
        <is>
          <t>예방 품질 관리</t>
        </is>
      </c>
      <c r="C45" s="26" t="inlineStr">
        <is>
          <t>발주통제</t>
        </is>
      </c>
      <c r="D45" s="26" t="inlineStr">
        <is>
          <t>조회</t>
        </is>
      </c>
      <c r="E45" s="26" t="inlineStr">
        <is>
          <t>RQ-GATE-011</t>
        </is>
      </c>
      <c r="F45" s="10" t="inlineStr">
        <is>
          <t>발주서 단위 통제 결과 표시</t>
        </is>
      </c>
      <c r="G45" s="26" t="inlineStr">
        <is>
          <t>Y</t>
        </is>
      </c>
      <c r="H45" s="26" t="inlineStr">
        <is>
          <t>PRC-PQG-110</t>
        </is>
      </c>
      <c r="I45" s="10" t="inlineStr">
        <is>
          <t>발주서 단위 통제</t>
        </is>
      </c>
      <c r="J45" s="26" t="inlineStr">
        <is>
          <t>PQG-POD-010-M1
PQG-DSH-010-M1</t>
        </is>
      </c>
      <c r="K45" s="10" t="inlineStr">
        <is>
          <t>발주서 통제 보기
대시보드(요약 카드·지표·위험 배너·체계분류 목록)</t>
        </is>
      </c>
      <c r="L45" s="26" t="inlineStr">
        <is>
          <t>N/A</t>
        </is>
      </c>
      <c r="M45" s="10" t="inlineStr">
        <is>
          <t>N/A</t>
        </is>
      </c>
      <c r="N45" s="26" t="inlineStr">
        <is>
          <t>미정</t>
        </is>
      </c>
      <c r="O45" s="10" t="inlineStr">
        <is>
          <t>구매 시스템 발주서·소속 기자재 정보 수신(후보, DEC-18)</t>
        </is>
      </c>
      <c r="P45" s="26" t="inlineStr">
        <is>
          <t>미정</t>
        </is>
      </c>
      <c r="Q45" s="26" t="inlineStr">
        <is>
          <t>미작성</t>
        </is>
      </c>
      <c r="R45" s="10" t="inlineStr">
        <is>
          <t>개발 단계 작성</t>
        </is>
      </c>
      <c r="S45" s="26" t="inlineStr">
        <is>
          <t>미작성</t>
        </is>
      </c>
      <c r="T45" s="10" t="inlineStr">
        <is>
          <t>테스트 단계 작성</t>
        </is>
      </c>
      <c r="U45" s="10" t="inlineStr">
        <is>
          <t>FE-E26 발주서 통제 묶음
FE-E04 기자재 목록 행</t>
        </is>
      </c>
      <c r="V45" s="10" t="inlineStr">
        <is>
          <t>BE 신설 요청(발주서, 발주서-기자재 소속)
BE:E03 체계분류
BE:E04 기자재
BE:E05 평가기준 버전
BE:E06 위험평가 회차
BE:E19 발주 통제판단
BE:E20 발주 승인결정</t>
        </is>
      </c>
      <c r="W45" s="27" t="inlineStr">
        <is>
          <t>DEC-18</t>
        </is>
      </c>
      <c r="X45" s="10" t="inlineStr">
        <is>
          <t>구현 제안 포함 / 결정 필요</t>
        </is>
      </c>
      <c r="Y45" s="27" t="inlineStr">
        <is>
          <t>화면</t>
        </is>
      </c>
      <c r="Z45" s="27" t="inlineStr">
        <is>
          <t>FE-GATE-011</t>
        </is>
      </c>
    </row>
    <row r="46" ht="95" customHeight="1">
      <c r="A46" s="26" t="n">
        <v>42</v>
      </c>
      <c r="B46" s="26" t="inlineStr">
        <is>
          <t>예방 품질 관리</t>
        </is>
      </c>
      <c r="C46" s="26" t="inlineStr">
        <is>
          <t>발주통제</t>
        </is>
      </c>
      <c r="D46" s="26" t="inlineStr">
        <is>
          <t>연계</t>
        </is>
      </c>
      <c r="E46" s="26" t="inlineStr">
        <is>
          <t>RQ-GATE-012</t>
        </is>
      </c>
      <c r="F46" s="10" t="inlineStr">
        <is>
          <t>내부 발주 승인과 외부 전달·처리 결과 구분</t>
        </is>
      </c>
      <c r="G46" s="26" t="inlineStr">
        <is>
          <t>Y</t>
        </is>
      </c>
      <c r="H46" s="26" t="inlineStr">
        <is>
          <t>PRC-PQG-120</t>
        </is>
      </c>
      <c r="I46" s="10" t="inlineStr">
        <is>
          <t>승인 결과 외부 전달</t>
        </is>
      </c>
      <c r="J46" s="26" t="inlineStr">
        <is>
          <t>PQG-EQP-010-M1</t>
        </is>
      </c>
      <c r="K46" s="10" t="inlineStr">
        <is>
          <t>기자재 상세(상단 Gate 흐름·판단 영역)</t>
        </is>
      </c>
      <c r="L46" s="26" t="inlineStr">
        <is>
          <t>미정</t>
        </is>
      </c>
      <c r="M46" s="10" t="inlineStr">
        <is>
          <t>외부 전달 실패 재시도(후보, DEC-20)</t>
        </is>
      </c>
      <c r="N46" s="26" t="inlineStr">
        <is>
          <t>미정</t>
        </is>
      </c>
      <c r="O46" s="10" t="inlineStr">
        <is>
          <t>기업자원관리 시스템 발주 진행 승인 결과 전달(후보, DEC-20)</t>
        </is>
      </c>
      <c r="P46" s="26" t="inlineStr">
        <is>
          <t>미정</t>
        </is>
      </c>
      <c r="Q46" s="26" t="inlineStr">
        <is>
          <t>미작성</t>
        </is>
      </c>
      <c r="R46" s="10" t="inlineStr">
        <is>
          <t>개발 단계 작성</t>
        </is>
      </c>
      <c r="S46" s="26" t="inlineStr">
        <is>
          <t>미작성</t>
        </is>
      </c>
      <c r="T46" s="10" t="inlineStr">
        <is>
          <t>테스트 단계 작성</t>
        </is>
      </c>
      <c r="U46" s="10" t="inlineStr">
        <is>
          <t>FE-E28 외부 전달 상태
FE-E19 발주 승인 입력</t>
        </is>
      </c>
      <c r="V46" s="10" t="inlineStr">
        <is>
          <t>BE:E20 발주 승인결정
BE:E23 업무 알림
BE:E24 변경 감사이력
BE 신설 요청(외부 전달 이력)
BE:E19 발주 통제판단
BE:E21 발주 예외조건</t>
        </is>
      </c>
      <c r="W46" s="27" t="inlineStr">
        <is>
          <t>DEC-15 DEC-20 DEC-24</t>
        </is>
      </c>
      <c r="X46" s="10" t="inlineStr">
        <is>
          <t>구현 제안 포함 / 결정 필요</t>
        </is>
      </c>
      <c r="Y46" s="27" t="inlineStr">
        <is>
          <t>화면+서버</t>
        </is>
      </c>
      <c r="Z46" s="27" t="inlineStr">
        <is>
          <t>FE-GATE-012
BE-GATE-004</t>
        </is>
      </c>
    </row>
    <row r="47" ht="182" customHeight="1">
      <c r="A47" s="26" t="n">
        <v>43</v>
      </c>
      <c r="B47" s="26" t="inlineStr">
        <is>
          <t>예방 품질 관리</t>
        </is>
      </c>
      <c r="C47" s="26" t="inlineStr">
        <is>
          <t>발주통제</t>
        </is>
      </c>
      <c r="D47" s="26" t="inlineStr">
        <is>
          <t>조회</t>
        </is>
      </c>
      <c r="E47" s="26" t="inlineStr">
        <is>
          <t>RQ-GATE-013</t>
        </is>
      </c>
      <c r="F47" s="10" t="inlineStr">
        <is>
          <t>개별 검토 승인과 Gate 통과의 판단 단계 구분 표시</t>
        </is>
      </c>
      <c r="G47" s="26" t="inlineStr">
        <is>
          <t>Y</t>
        </is>
      </c>
      <c r="H47" s="26" t="inlineStr">
        <is>
          <t>PRC-PQG-080</t>
        </is>
      </c>
      <c r="I47" s="10" t="inlineStr">
        <is>
          <t>Gate 통제 판단·발주 진행 승인</t>
        </is>
      </c>
      <c r="J47" s="26" t="inlineStr">
        <is>
          <t>PQG-EQP-060-M1</t>
        </is>
      </c>
      <c r="K47" s="10" t="inlineStr">
        <is>
          <t>Gate 필수조건·판단 단계 영역</t>
        </is>
      </c>
      <c r="L47" s="26" t="inlineStr">
        <is>
          <t>N/A</t>
        </is>
      </c>
      <c r="M47" s="10" t="inlineStr">
        <is>
          <t>N/A</t>
        </is>
      </c>
      <c r="N47" s="26" t="inlineStr">
        <is>
          <t>N/A</t>
        </is>
      </c>
      <c r="O47" s="10" t="inlineStr">
        <is>
          <t>N/A</t>
        </is>
      </c>
      <c r="P47" s="26" t="inlineStr">
        <is>
          <t>미정</t>
        </is>
      </c>
      <c r="Q47" s="26" t="inlineStr">
        <is>
          <t>미작성</t>
        </is>
      </c>
      <c r="R47" s="10" t="inlineStr">
        <is>
          <t>개발 단계 작성</t>
        </is>
      </c>
      <c r="S47" s="26" t="inlineStr">
        <is>
          <t>미작성</t>
        </is>
      </c>
      <c r="T47" s="10" t="inlineStr">
        <is>
          <t>테스트 단계 작성</t>
        </is>
      </c>
      <c r="U47" s="10" t="inlineStr">
        <is>
          <t>FE-E04 기자재 목록 행
FE-E14 사양 비교 행
FE-E19 발주 승인 입력
FE-E24 Gate 필수조건 행</t>
        </is>
      </c>
      <c r="V47" s="10" t="inlineStr">
        <is>
          <t>BE:E03 체계분류
BE:E04 기자재
BE:E05 평가기준 버전
BE:E06 위험평가 회차
BE:E19 발주 통제판단
BE:E20 발주 승인결정
BE:E13 사양비교 개정
BE:E14 사양비교 항목
BE:E15 사양 해명회차
BE:E21 발주 예외조건
BE:E09 기자재 점검항목
BE 신설 요청(필수조건 판정 행)</t>
        </is>
      </c>
      <c r="W47" s="27" t="inlineStr">
        <is>
          <t>DEC-01 DEC-12 DEC-24</t>
        </is>
      </c>
      <c r="X47" s="10" t="inlineStr">
        <is>
          <t>구현 제안 포함 / 결정 필요</t>
        </is>
      </c>
      <c r="Y47" s="27" t="inlineStr">
        <is>
          <t>화면</t>
        </is>
      </c>
      <c r="Z47" s="27" t="inlineStr">
        <is>
          <t>FE-GATE-013</t>
        </is>
      </c>
    </row>
    <row r="48" ht="124" customHeight="1">
      <c r="A48" s="26" t="n">
        <v>44</v>
      </c>
      <c r="B48" s="26" t="inlineStr">
        <is>
          <t>예방 품질 관리</t>
        </is>
      </c>
      <c r="C48" s="26" t="inlineStr">
        <is>
          <t>발주통제</t>
        </is>
      </c>
      <c r="D48" s="26" t="inlineStr">
        <is>
          <t>무결성</t>
        </is>
      </c>
      <c r="E48" s="26" t="inlineStr">
        <is>
          <t>RQ-GATE-014</t>
        </is>
      </c>
      <c r="F48" s="10" t="inlineStr">
        <is>
          <t>판정 근거와 변경 이력 무결성</t>
        </is>
      </c>
      <c r="G48" s="26" t="inlineStr">
        <is>
          <t>Y</t>
        </is>
      </c>
      <c r="H48" s="26" t="inlineStr">
        <is>
          <t>PRC-PQG-080</t>
        </is>
      </c>
      <c r="I48" s="10" t="inlineStr">
        <is>
          <t>Gate 통제 판단·발주 진행 승인</t>
        </is>
      </c>
      <c r="J48" s="26" t="inlineStr">
        <is>
          <t>N/A</t>
        </is>
      </c>
      <c r="K48" s="10" t="inlineStr">
        <is>
          <t>N/A(서버 공통 처리)</t>
        </is>
      </c>
      <c r="L48" s="26" t="inlineStr">
        <is>
          <t>N/A</t>
        </is>
      </c>
      <c r="M48" s="10" t="inlineStr">
        <is>
          <t>N/A</t>
        </is>
      </c>
      <c r="N48" s="26" t="inlineStr">
        <is>
          <t>N/A</t>
        </is>
      </c>
      <c r="O48" s="10" t="inlineStr">
        <is>
          <t>N/A</t>
        </is>
      </c>
      <c r="P48" s="26" t="inlineStr">
        <is>
          <t>미정</t>
        </is>
      </c>
      <c r="Q48" s="26" t="inlineStr">
        <is>
          <t>미작성</t>
        </is>
      </c>
      <c r="R48" s="10" t="inlineStr">
        <is>
          <t>개발 단계 작성</t>
        </is>
      </c>
      <c r="S48" s="26" t="inlineStr">
        <is>
          <t>미작성</t>
        </is>
      </c>
      <c r="T48" s="10" t="inlineStr">
        <is>
          <t>테스트 단계 작성</t>
        </is>
      </c>
      <c r="U48" s="10" t="inlineStr">
        <is>
          <t>N/A</t>
        </is>
      </c>
      <c r="V48" s="10" t="inlineStr">
        <is>
          <t>BE:E10 점검 제출회차
BE:E12 점검 승인판정
BE:E15 사양 해명회차
BE:E18 해명 품질판정
BE:E19 발주 통제판단
BE:E20 발주 승인결정
BE:E22 첨부파일
BE:E24 변경 감사이력</t>
        </is>
      </c>
      <c r="W48" s="27" t="inlineStr">
        <is>
          <t>DEC-16</t>
        </is>
      </c>
      <c r="X48" s="10" t="inlineStr">
        <is>
          <t>구현 제안 포함 / 결정 필요</t>
        </is>
      </c>
      <c r="Y48" s="27" t="inlineStr">
        <is>
          <t>서버</t>
        </is>
      </c>
      <c r="Z48" s="27" t="inlineStr">
        <is>
          <t>BE-GATE-005</t>
        </is>
      </c>
    </row>
    <row r="49" ht="66" customHeight="1">
      <c r="A49" s="26" t="n">
        <v>45</v>
      </c>
      <c r="B49" s="26" t="inlineStr">
        <is>
          <t>예방 품질 관리</t>
        </is>
      </c>
      <c r="C49" s="26" t="inlineStr">
        <is>
          <t>평가기준</t>
        </is>
      </c>
      <c r="D49" s="26" t="inlineStr">
        <is>
          <t>설정</t>
        </is>
      </c>
      <c r="E49" s="26" t="inlineStr">
        <is>
          <t>RQ-CONFIG-001</t>
        </is>
      </c>
      <c r="F49" s="10" t="inlineStr">
        <is>
          <t>가중치·등급기준 입력 검증과 기준 버전 관리</t>
        </is>
      </c>
      <c r="G49" s="26" t="inlineStr">
        <is>
          <t>Y</t>
        </is>
      </c>
      <c r="H49" s="26" t="inlineStr">
        <is>
          <t>PRC-PQG-130</t>
        </is>
      </c>
      <c r="I49" s="10" t="inlineStr">
        <is>
          <t>평가기준 관리</t>
        </is>
      </c>
      <c r="J49" s="26" t="inlineStr">
        <is>
          <t>PQG-CFG-010-P1</t>
        </is>
      </c>
      <c r="K49" s="10" t="inlineStr">
        <is>
          <t>평가기준 설정 창</t>
        </is>
      </c>
      <c r="L49" s="26" t="inlineStr">
        <is>
          <t>N/A</t>
        </is>
      </c>
      <c r="M49" s="10" t="inlineStr">
        <is>
          <t>N/A</t>
        </is>
      </c>
      <c r="N49" s="26" t="inlineStr">
        <is>
          <t>N/A</t>
        </is>
      </c>
      <c r="O49" s="10" t="inlineStr">
        <is>
          <t>N/A</t>
        </is>
      </c>
      <c r="P49" s="26" t="inlineStr">
        <is>
          <t>미정</t>
        </is>
      </c>
      <c r="Q49" s="26" t="inlineStr">
        <is>
          <t>미작성</t>
        </is>
      </c>
      <c r="R49" s="10" t="inlineStr">
        <is>
          <t>개발 단계 작성</t>
        </is>
      </c>
      <c r="S49" s="26" t="inlineStr">
        <is>
          <t>미작성</t>
        </is>
      </c>
      <c r="T49" s="10" t="inlineStr">
        <is>
          <t>테스트 단계 작성</t>
        </is>
      </c>
      <c r="U49" s="10" t="inlineStr">
        <is>
          <t>FE-E11 평가기준 설정 표시
FE-E12 평가기준 적용 입력</t>
        </is>
      </c>
      <c r="V49" s="10" t="inlineStr">
        <is>
          <t>BE:E01 사용자
BE:E05 평가기준 버전
BE:E24 변경 감사이력
BE:E06 위험평가 회차</t>
        </is>
      </c>
      <c r="W49" s="27" t="inlineStr">
        <is>
          <t>DEC-01 DEC-09</t>
        </is>
      </c>
      <c r="X49" s="10" t="inlineStr">
        <is>
          <t>구현 제안 포함 / 결정 필요</t>
        </is>
      </c>
      <c r="Y49" s="27" t="inlineStr">
        <is>
          <t>화면+서버</t>
        </is>
      </c>
      <c r="Z49" s="27" t="inlineStr">
        <is>
          <t>FE-CONFIG-001
BE-CONFIG-001</t>
        </is>
      </c>
    </row>
    <row r="50" ht="109.5" customHeight="1">
      <c r="A50" s="26" t="n">
        <v>46</v>
      </c>
      <c r="B50" s="26" t="inlineStr">
        <is>
          <t>예방 품질 관리</t>
        </is>
      </c>
      <c r="C50" s="26" t="inlineStr">
        <is>
          <t>평가기준</t>
        </is>
      </c>
      <c r="D50" s="26" t="inlineStr">
        <is>
          <t>설정</t>
        </is>
      </c>
      <c r="E50" s="26" t="inlineStr">
        <is>
          <t>RQ-CONFIG-002</t>
        </is>
      </c>
      <c r="F50" s="10" t="inlineStr">
        <is>
          <t>설정 적용·복원과 평가 버전 일치</t>
        </is>
      </c>
      <c r="G50" s="26" t="inlineStr">
        <is>
          <t>Y</t>
        </is>
      </c>
      <c r="H50" s="26" t="inlineStr">
        <is>
          <t>PRC-PQG-130</t>
        </is>
      </c>
      <c r="I50" s="10" t="inlineStr">
        <is>
          <t>평가기준 관리</t>
        </is>
      </c>
      <c r="J50" s="26" t="inlineStr">
        <is>
          <t>PQG-CFG-010-P1
PQG-DSH-010-M1</t>
        </is>
      </c>
      <c r="K50" s="10" t="inlineStr">
        <is>
          <t>평가기준 설정 창
대시보드(요약 카드·지표·위험 배너·체계분류 목록)</t>
        </is>
      </c>
      <c r="L50" s="26" t="inlineStr">
        <is>
          <t>미정</t>
        </is>
      </c>
      <c r="M50" s="10" t="inlineStr">
        <is>
          <t>평가기준 적용 시 위험도 재산정(후보, DEC-09)</t>
        </is>
      </c>
      <c r="N50" s="26" t="inlineStr">
        <is>
          <t>N/A</t>
        </is>
      </c>
      <c r="O50" s="10" t="inlineStr">
        <is>
          <t>N/A</t>
        </is>
      </c>
      <c r="P50" s="26" t="inlineStr">
        <is>
          <t>미정</t>
        </is>
      </c>
      <c r="Q50" s="26" t="inlineStr">
        <is>
          <t>미작성</t>
        </is>
      </c>
      <c r="R50" s="10" t="inlineStr">
        <is>
          <t>개발 단계 작성</t>
        </is>
      </c>
      <c r="S50" s="26" t="inlineStr">
        <is>
          <t>미작성</t>
        </is>
      </c>
      <c r="T50" s="10" t="inlineStr">
        <is>
          <t>테스트 단계 작성</t>
        </is>
      </c>
      <c r="U50" s="10" t="inlineStr">
        <is>
          <t>FE-E11 평가기준 설정 표시
FE-E12 평가기준 적용 입력
FE-E04 기자재 목록 행</t>
        </is>
      </c>
      <c r="V50" s="10" t="inlineStr">
        <is>
          <t>BE:E05 평가기준 버전
BE:E06 위험평가 회차
BE:E19 발주 통제판단
BE:E20 발주 승인결정
BE:E24 변경 감사이력
BE:E03 체계분류
BE:E04 기자재</t>
        </is>
      </c>
      <c r="W50" s="27" t="inlineStr">
        <is>
          <t>DEC-09</t>
        </is>
      </c>
      <c r="X50" s="10" t="inlineStr">
        <is>
          <t>구현 제안 포함 / 결정 필요</t>
        </is>
      </c>
      <c r="Y50" s="27" t="inlineStr">
        <is>
          <t>화면+서버</t>
        </is>
      </c>
      <c r="Z50" s="27" t="inlineStr">
        <is>
          <t>FE-CONFIG-002
BE-CONFIG-002</t>
        </is>
      </c>
    </row>
    <row r="51" ht="95" customHeight="1">
      <c r="A51" s="26" t="n">
        <v>47</v>
      </c>
      <c r="B51" s="26" t="inlineStr">
        <is>
          <t>예방 품질 관리</t>
        </is>
      </c>
      <c r="C51" s="26" t="inlineStr">
        <is>
          <t>평가기준</t>
        </is>
      </c>
      <c r="D51" s="26" t="inlineStr">
        <is>
          <t>설정</t>
        </is>
      </c>
      <c r="E51" s="26" t="inlineStr">
        <is>
          <t>RQ-CONFIG-003</t>
        </is>
      </c>
      <c r="F51" s="10" t="inlineStr">
        <is>
          <t>기본값 복원의 화면 동작(편집중값 분리)</t>
        </is>
      </c>
      <c r="G51" s="26" t="inlineStr">
        <is>
          <t>Y</t>
        </is>
      </c>
      <c r="H51" s="26" t="inlineStr">
        <is>
          <t>PRC-PQG-130</t>
        </is>
      </c>
      <c r="I51" s="10" t="inlineStr">
        <is>
          <t>평가기준 관리</t>
        </is>
      </c>
      <c r="J51" s="26" t="inlineStr">
        <is>
          <t>PQG-CFG-010-P1
PQG-SIM-010-P1</t>
        </is>
      </c>
      <c r="K51" s="10" t="inlineStr">
        <is>
          <t>평가기준 설정 창
점수 시뮬레이터 창</t>
        </is>
      </c>
      <c r="L51" s="26" t="inlineStr">
        <is>
          <t>N/A</t>
        </is>
      </c>
      <c r="M51" s="10" t="inlineStr">
        <is>
          <t>N/A</t>
        </is>
      </c>
      <c r="N51" s="26" t="inlineStr">
        <is>
          <t>N/A</t>
        </is>
      </c>
      <c r="O51" s="10" t="inlineStr">
        <is>
          <t>N/A</t>
        </is>
      </c>
      <c r="P51" s="26" t="inlineStr">
        <is>
          <t>미정</t>
        </is>
      </c>
      <c r="Q51" s="26" t="inlineStr">
        <is>
          <t>미작성</t>
        </is>
      </c>
      <c r="R51" s="10" t="inlineStr">
        <is>
          <t>개발 단계 작성</t>
        </is>
      </c>
      <c r="S51" s="26" t="inlineStr">
        <is>
          <t>미작성</t>
        </is>
      </c>
      <c r="T51" s="10" t="inlineStr">
        <is>
          <t>테스트 단계 작성</t>
        </is>
      </c>
      <c r="U51" s="10" t="inlineStr">
        <is>
          <t>FE-E11 평가기준 설정 표시
FE-E12 평가기준 적용 입력
FE-E13 점수 시뮬레이터
FE-E04 기자재 목록 행</t>
        </is>
      </c>
      <c r="V51" s="10" t="inlineStr">
        <is>
          <t>BE:E05 평가기준 버전
BE:E06 위험평가 회차
BE:E03 체계분류
BE:E04 기자재
BE:E19 발주 통제판단
BE:E20 발주 승인결정</t>
        </is>
      </c>
      <c r="W51" s="27" t="inlineStr">
        <is>
          <t>DEC-09</t>
        </is>
      </c>
      <c r="X51" s="10" t="inlineStr">
        <is>
          <t>구현 제안 포함 / 결정 필요</t>
        </is>
      </c>
      <c r="Y51" s="27" t="inlineStr">
        <is>
          <t>화면</t>
        </is>
      </c>
      <c r="Z51" s="27" t="inlineStr">
        <is>
          <t>FE-CONFIG-003</t>
        </is>
      </c>
    </row>
    <row r="52" ht="80.5" customHeight="1">
      <c r="A52" s="26" t="n">
        <v>48</v>
      </c>
      <c r="B52" s="26" t="inlineStr">
        <is>
          <t>예방 품질 관리</t>
        </is>
      </c>
      <c r="C52" s="26" t="inlineStr">
        <is>
          <t>평가기준</t>
        </is>
      </c>
      <c r="D52" s="26" t="inlineStr">
        <is>
          <t>연계</t>
        </is>
      </c>
      <c r="E52" s="26" t="inlineStr">
        <is>
          <t>RQ-CONFIG-004</t>
        </is>
      </c>
      <c r="F52" s="10" t="inlineStr">
        <is>
          <t>원천 연계와 기준 확정 경계 명시</t>
        </is>
      </c>
      <c r="G52" s="26" t="inlineStr">
        <is>
          <t>Y</t>
        </is>
      </c>
      <c r="H52" s="26" t="inlineStr">
        <is>
          <t>PRC-PQG-150</t>
        </is>
      </c>
      <c r="I52" s="10" t="inlineStr">
        <is>
          <t>외부 원천 데이터 연계</t>
        </is>
      </c>
      <c r="J52" s="26" t="inlineStr">
        <is>
          <t>N/A</t>
        </is>
      </c>
      <c r="K52" s="10" t="inlineStr">
        <is>
          <t>N/A(서버 공통 처리)</t>
        </is>
      </c>
      <c r="L52" s="26" t="inlineStr">
        <is>
          <t>미정</t>
        </is>
      </c>
      <c r="M52" s="10" t="inlineStr">
        <is>
          <t>원천 데이터 수집·갱신(후보, DEC-15)</t>
        </is>
      </c>
      <c r="N52" s="26" t="inlineStr">
        <is>
          <t>미정</t>
        </is>
      </c>
      <c r="O52" s="10" t="inlineStr">
        <is>
          <t>프로젝트 관리 포털·제품수명주기관리·기업자원관리 시스템 원천 데이터 연계(후보, DEC-15)</t>
        </is>
      </c>
      <c r="P52" s="26" t="inlineStr">
        <is>
          <t>미정</t>
        </is>
      </c>
      <c r="Q52" s="26" t="inlineStr">
        <is>
          <t>미작성</t>
        </is>
      </c>
      <c r="R52" s="10" t="inlineStr">
        <is>
          <t>개발 단계 작성</t>
        </is>
      </c>
      <c r="S52" s="26" t="inlineStr">
        <is>
          <t>미작성</t>
        </is>
      </c>
      <c r="T52" s="10" t="inlineStr">
        <is>
          <t>테스트 단계 작성</t>
        </is>
      </c>
      <c r="U52" s="10" t="inlineStr">
        <is>
          <t>N/A</t>
        </is>
      </c>
      <c r="V52" s="10" t="inlineStr">
        <is>
          <t>BE:E05 평가기준 버전
BE:E08 교훈기준 개정
BE:E13 사양비교 개정
BE:E25 품질 참조이력
BE:E26 평가 참조연결</t>
        </is>
      </c>
      <c r="W52" s="27" t="inlineStr">
        <is>
          <t>DEC-15 DEC-16</t>
        </is>
      </c>
      <c r="X52" s="10" t="inlineStr">
        <is>
          <t>구현 제안 포함 / 결정 필요</t>
        </is>
      </c>
      <c r="Y52" s="27" t="inlineStr">
        <is>
          <t>서버</t>
        </is>
      </c>
      <c r="Z52" s="27" t="inlineStr">
        <is>
          <t>BE-CONFIG-003</t>
        </is>
      </c>
    </row>
    <row r="53" ht="51.5" customHeight="1">
      <c r="A53" s="26" t="n">
        <v>49</v>
      </c>
      <c r="B53" s="26" t="inlineStr">
        <is>
          <t>예방 품질 관리</t>
        </is>
      </c>
      <c r="C53" s="26" t="inlineStr">
        <is>
          <t>알림</t>
        </is>
      </c>
      <c r="D53" s="26" t="inlineStr">
        <is>
          <t>알림</t>
        </is>
      </c>
      <c r="E53" s="26" t="inlineStr">
        <is>
          <t>RQ-NOTIF-001</t>
        </is>
      </c>
      <c r="F53" s="10" t="inlineStr">
        <is>
          <t>알림 트레이 열기·최소화</t>
        </is>
      </c>
      <c r="G53" s="26" t="inlineStr">
        <is>
          <t>Y</t>
        </is>
      </c>
      <c r="H53" s="26" t="inlineStr">
        <is>
          <t>PRC-PQG-140</t>
        </is>
      </c>
      <c r="I53" s="10" t="inlineStr">
        <is>
          <t>업무 알림</t>
        </is>
      </c>
      <c r="J53" s="26" t="inlineStr">
        <is>
          <t>PQG-NTF-010-M1</t>
        </is>
      </c>
      <c r="K53" s="10" t="inlineStr">
        <is>
          <t>알림 트레이</t>
        </is>
      </c>
      <c r="L53" s="26" t="inlineStr">
        <is>
          <t>N/A</t>
        </is>
      </c>
      <c r="M53" s="10" t="inlineStr">
        <is>
          <t>N/A</t>
        </is>
      </c>
      <c r="N53" s="26" t="inlineStr">
        <is>
          <t>N/A</t>
        </is>
      </c>
      <c r="O53" s="10" t="inlineStr">
        <is>
          <t>N/A</t>
        </is>
      </c>
      <c r="P53" s="26" t="inlineStr">
        <is>
          <t>미정</t>
        </is>
      </c>
      <c r="Q53" s="26" t="inlineStr">
        <is>
          <t>미작성</t>
        </is>
      </c>
      <c r="R53" s="10" t="inlineStr">
        <is>
          <t>개발 단계 작성</t>
        </is>
      </c>
      <c r="S53" s="26" t="inlineStr">
        <is>
          <t>미작성</t>
        </is>
      </c>
      <c r="T53" s="10" t="inlineStr">
        <is>
          <t>테스트 단계 작성</t>
        </is>
      </c>
      <c r="U53" s="10" t="inlineStr">
        <is>
          <t>FE-E01 사용자 세션 문맥
FE-E20 알림 트레이 항목</t>
        </is>
      </c>
      <c r="V53" s="10" t="inlineStr">
        <is>
          <t>BE:E01 사용자
BE:E02 기자재 담당배정
BE:E23 업무 알림</t>
        </is>
      </c>
      <c r="W53" s="27" t="inlineStr">
        <is>
          <t>DEC-05</t>
        </is>
      </c>
      <c r="X53" s="10" t="inlineStr">
        <is>
          <t>구현 제안 포함 / 결정 필요</t>
        </is>
      </c>
      <c r="Y53" s="27" t="inlineStr">
        <is>
          <t>화면</t>
        </is>
      </c>
      <c r="Z53" s="27" t="inlineStr">
        <is>
          <t>FE-NOTIF-001</t>
        </is>
      </c>
    </row>
    <row r="54" ht="109.5" customHeight="1">
      <c r="A54" s="26" t="n">
        <v>50</v>
      </c>
      <c r="B54" s="26" t="inlineStr">
        <is>
          <t>예방 품질 관리</t>
        </is>
      </c>
      <c r="C54" s="26" t="inlineStr">
        <is>
          <t>알림</t>
        </is>
      </c>
      <c r="D54" s="26" t="inlineStr">
        <is>
          <t>알림</t>
        </is>
      </c>
      <c r="E54" s="26" t="inlineStr">
        <is>
          <t>RQ-NOTIF-002</t>
        </is>
      </c>
      <c r="F54" s="10" t="inlineStr">
        <is>
          <t>알림 클릭 시 상세 이동</t>
        </is>
      </c>
      <c r="G54" s="26" t="inlineStr">
        <is>
          <t>Y</t>
        </is>
      </c>
      <c r="H54" s="26" t="inlineStr">
        <is>
          <t>PRC-PQG-140</t>
        </is>
      </c>
      <c r="I54" s="10" t="inlineStr">
        <is>
          <t>업무 알림</t>
        </is>
      </c>
      <c r="J54" s="26" t="inlineStr">
        <is>
          <t>PQG-NTF-010-M1
PQG-EQP-010-M1</t>
        </is>
      </c>
      <c r="K54" s="10" t="inlineStr">
        <is>
          <t>알림 트레이
기자재 상세(상단 Gate 흐름·판단 영역)</t>
        </is>
      </c>
      <c r="L54" s="26" t="inlineStr">
        <is>
          <t>N/A</t>
        </is>
      </c>
      <c r="M54" s="10" t="inlineStr">
        <is>
          <t>N/A</t>
        </is>
      </c>
      <c r="N54" s="26" t="inlineStr">
        <is>
          <t>N/A</t>
        </is>
      </c>
      <c r="O54" s="10" t="inlineStr">
        <is>
          <t>N/A</t>
        </is>
      </c>
      <c r="P54" s="26" t="inlineStr">
        <is>
          <t>미정</t>
        </is>
      </c>
      <c r="Q54" s="26" t="inlineStr">
        <is>
          <t>미작성</t>
        </is>
      </c>
      <c r="R54" s="10" t="inlineStr">
        <is>
          <t>개발 단계 작성</t>
        </is>
      </c>
      <c r="S54" s="26" t="inlineStr">
        <is>
          <t>미작성</t>
        </is>
      </c>
      <c r="T54" s="10" t="inlineStr">
        <is>
          <t>테스트 단계 작성</t>
        </is>
      </c>
      <c r="U54" s="10" t="inlineStr">
        <is>
          <t>FE-E20 알림 트레이 항목
FE-E04 기자재 목록 행</t>
        </is>
      </c>
      <c r="V54" s="10" t="inlineStr">
        <is>
          <t>BE:E23 업무 알림
BE:E03 체계분류
BE:E04 기자재
BE:E05 평가기준 버전
BE:E06 위험평가 회차
BE:E19 발주 통제판단
BE:E20 발주 승인결정</t>
        </is>
      </c>
      <c r="W54" s="27" t="inlineStr">
        <is>
          <t>DEC-05</t>
        </is>
      </c>
      <c r="X54" s="10" t="inlineStr">
        <is>
          <t>구현 제안 포함 / 결정 필요</t>
        </is>
      </c>
      <c r="Y54" s="27" t="inlineStr">
        <is>
          <t>화면</t>
        </is>
      </c>
      <c r="Z54" s="27" t="inlineStr">
        <is>
          <t>FE-NOTIF-002</t>
        </is>
      </c>
    </row>
    <row r="55" ht="37" customHeight="1">
      <c r="A55" s="26" t="n">
        <v>51</v>
      </c>
      <c r="B55" s="26" t="inlineStr">
        <is>
          <t>예방 품질 관리</t>
        </is>
      </c>
      <c r="C55" s="26" t="inlineStr">
        <is>
          <t>알림</t>
        </is>
      </c>
      <c r="D55" s="26" t="inlineStr">
        <is>
          <t>알림</t>
        </is>
      </c>
      <c r="E55" s="26" t="inlineStr">
        <is>
          <t>RQ-NOTIF-003</t>
        </is>
      </c>
      <c r="F55" s="10" t="inlineStr">
        <is>
          <t>처리 결과 안내 메시지 표시</t>
        </is>
      </c>
      <c r="G55" s="26" t="inlineStr">
        <is>
          <t>Y</t>
        </is>
      </c>
      <c r="H55" s="26" t="inlineStr">
        <is>
          <t>PRC-PQG-140</t>
        </is>
      </c>
      <c r="I55" s="10" t="inlineStr">
        <is>
          <t>업무 알림</t>
        </is>
      </c>
      <c r="J55" s="26" t="inlineStr">
        <is>
          <t>PQG-CMN-010-M1</t>
        </is>
      </c>
      <c r="K55" s="10" t="inlineStr">
        <is>
          <t>처리 결과 안내 메시지(공통)</t>
        </is>
      </c>
      <c r="L55" s="26" t="inlineStr">
        <is>
          <t>N/A</t>
        </is>
      </c>
      <c r="M55" s="10" t="inlineStr">
        <is>
          <t>N/A</t>
        </is>
      </c>
      <c r="N55" s="26" t="inlineStr">
        <is>
          <t>N/A</t>
        </is>
      </c>
      <c r="O55" s="10" t="inlineStr">
        <is>
          <t>N/A</t>
        </is>
      </c>
      <c r="P55" s="26" t="inlineStr">
        <is>
          <t>N/A</t>
        </is>
      </c>
      <c r="Q55" s="26" t="inlineStr">
        <is>
          <t>미작성</t>
        </is>
      </c>
      <c r="R55" s="10" t="inlineStr">
        <is>
          <t>개발 단계 작성</t>
        </is>
      </c>
      <c r="S55" s="26" t="inlineStr">
        <is>
          <t>미작성</t>
        </is>
      </c>
      <c r="T55" s="10" t="inlineStr">
        <is>
          <t>테스트 단계 작성</t>
        </is>
      </c>
      <c r="U55" s="10" t="inlineStr">
        <is>
          <t>N/A</t>
        </is>
      </c>
      <c r="V55" s="10" t="inlineStr">
        <is>
          <t>N/A</t>
        </is>
      </c>
      <c r="W55" s="27" t="inlineStr">
        <is>
          <t>N/A</t>
        </is>
      </c>
      <c r="X55" s="10" t="inlineStr">
        <is>
          <t>구현 제안 포함 / 결정 필요</t>
        </is>
      </c>
      <c r="Y55" s="27" t="inlineStr">
        <is>
          <t>화면</t>
        </is>
      </c>
      <c r="Z55" s="27" t="inlineStr">
        <is>
          <t>FE-NOTIF-003</t>
        </is>
      </c>
    </row>
    <row r="56" ht="167.5" customHeight="1">
      <c r="A56" s="26" t="n">
        <v>52</v>
      </c>
      <c r="B56" s="26" t="inlineStr">
        <is>
          <t>예방 품질 관리</t>
        </is>
      </c>
      <c r="C56" s="26" t="inlineStr">
        <is>
          <t>알림</t>
        </is>
      </c>
      <c r="D56" s="26" t="inlineStr">
        <is>
          <t>알림</t>
        </is>
      </c>
      <c r="E56" s="26" t="inlineStr">
        <is>
          <t>RQ-NOTIF-004</t>
        </is>
      </c>
      <c r="F56" s="10" t="inlineStr">
        <is>
          <t>업무 이벤트 알림 저장과 알림 표시 통합</t>
        </is>
      </c>
      <c r="G56" s="26" t="inlineStr">
        <is>
          <t>Y</t>
        </is>
      </c>
      <c r="H56" s="26" t="inlineStr">
        <is>
          <t>PRC-PQG-140</t>
        </is>
      </c>
      <c r="I56" s="10" t="inlineStr">
        <is>
          <t>업무 알림</t>
        </is>
      </c>
      <c r="J56" s="26" t="inlineStr">
        <is>
          <t>PQG-NTF-010-M1
PQG-DSH-010-M1</t>
        </is>
      </c>
      <c r="K56" s="10" t="inlineStr">
        <is>
          <t>알림 트레이
대시보드(요약 카드·지표·위험 배너·체계분류 목록)</t>
        </is>
      </c>
      <c r="L56" s="26" t="inlineStr">
        <is>
          <t>미정</t>
        </is>
      </c>
      <c r="M56" s="10" t="inlineStr">
        <is>
          <t>업무 알림 생성(후보, DEC-05)</t>
        </is>
      </c>
      <c r="N56" s="26" t="inlineStr">
        <is>
          <t>미정</t>
        </is>
      </c>
      <c r="O56" s="10" t="inlineStr">
        <is>
          <t>업무 알림 외부 발송(후보, DEC-05)</t>
        </is>
      </c>
      <c r="P56" s="26" t="inlineStr">
        <is>
          <t>미정</t>
        </is>
      </c>
      <c r="Q56" s="26" t="inlineStr">
        <is>
          <t>미작성</t>
        </is>
      </c>
      <c r="R56" s="10" t="inlineStr">
        <is>
          <t>개발 단계 작성</t>
        </is>
      </c>
      <c r="S56" s="26" t="inlineStr">
        <is>
          <t>미작성</t>
        </is>
      </c>
      <c r="T56" s="10" t="inlineStr">
        <is>
          <t>테스트 단계 작성</t>
        </is>
      </c>
      <c r="U56" s="10" t="inlineStr">
        <is>
          <t>FE-E03 대시보드 요약
FE-E05 위험 알림 행
FE-E20 알림 트레이 항목</t>
        </is>
      </c>
      <c r="V56" s="10" t="inlineStr">
        <is>
          <t>BE:E01 사용자
BE:E10 점검 제출회차
BE:E15 사양 해명회차
BE:E18 해명 품질판정
BE:E23 업무 알림
BE:E24 변경 감사이력
BE:E02 기자재 담당배정
BE:E06 위험평가 회차
BE:E19 발주 통제판단
BE:E20 발주 승인결정
BE:E04 기자재</t>
        </is>
      </c>
      <c r="W56" s="27" t="inlineStr">
        <is>
          <t>DEC-05 DEC-15</t>
        </is>
      </c>
      <c r="X56" s="10" t="inlineStr">
        <is>
          <t>구현 제안 포함 / 결정 필요</t>
        </is>
      </c>
      <c r="Y56" s="27" t="inlineStr">
        <is>
          <t>화면+서버</t>
        </is>
      </c>
      <c r="Z56" s="27" t="inlineStr">
        <is>
          <t>FE-NOTIF-004
BE-NOTIF-001</t>
        </is>
      </c>
    </row>
    <row r="57" ht="66" customHeight="1">
      <c r="A57" s="26" t="n">
        <v>53</v>
      </c>
      <c r="B57" s="26" t="inlineStr">
        <is>
          <t>예방 품질 관리</t>
        </is>
      </c>
      <c r="C57" s="26" t="inlineStr">
        <is>
          <t>알림</t>
        </is>
      </c>
      <c r="D57" s="26" t="inlineStr">
        <is>
          <t>알림</t>
        </is>
      </c>
      <c r="E57" s="26" t="inlineStr">
        <is>
          <t>RQ-NOTIF-005</t>
        </is>
      </c>
      <c r="F57" s="10" t="inlineStr">
        <is>
          <t>위험 알림 수신범위와 발송정책 구분</t>
        </is>
      </c>
      <c r="G57" s="26" t="inlineStr">
        <is>
          <t>Y</t>
        </is>
      </c>
      <c r="H57" s="26" t="inlineStr">
        <is>
          <t>PRC-PQG-140</t>
        </is>
      </c>
      <c r="I57" s="10" t="inlineStr">
        <is>
          <t>업무 알림</t>
        </is>
      </c>
      <c r="J57" s="26" t="inlineStr">
        <is>
          <t>PQG-DSH-010-M1
PQG-NTF-010-M1</t>
        </is>
      </c>
      <c r="K57" s="10" t="inlineStr">
        <is>
          <t>대시보드(요약 카드·지표·위험 배너·체계분류 목록)
알림 트레이</t>
        </is>
      </c>
      <c r="L57" s="26" t="inlineStr">
        <is>
          <t>미정</t>
        </is>
      </c>
      <c r="M57" s="10" t="inlineStr">
        <is>
          <t>위험 알림 정기 발송(후보, DEC-04 DEC-15)</t>
        </is>
      </c>
      <c r="N57" s="26" t="inlineStr">
        <is>
          <t>미정</t>
        </is>
      </c>
      <c r="O57" s="10" t="inlineStr">
        <is>
          <t>업무 알림 외부 발송(후보, DEC-05)</t>
        </is>
      </c>
      <c r="P57" s="26" t="inlineStr">
        <is>
          <t>미정</t>
        </is>
      </c>
      <c r="Q57" s="26" t="inlineStr">
        <is>
          <t>미작성</t>
        </is>
      </c>
      <c r="R57" s="10" t="inlineStr">
        <is>
          <t>개발 단계 작성</t>
        </is>
      </c>
      <c r="S57" s="26" t="inlineStr">
        <is>
          <t>미작성</t>
        </is>
      </c>
      <c r="T57" s="10" t="inlineStr">
        <is>
          <t>테스트 단계 작성</t>
        </is>
      </c>
      <c r="U57" s="10" t="inlineStr">
        <is>
          <t>N/A</t>
        </is>
      </c>
      <c r="V57" s="10" t="inlineStr">
        <is>
          <t>BE:E02 기자재 담당배정
BE:E04 기자재
BE:E19 발주 통제판단
BE:E23 업무 알림</t>
        </is>
      </c>
      <c r="W57" s="27" t="inlineStr">
        <is>
          <t>DEC-04 DEC-15</t>
        </is>
      </c>
      <c r="X57" s="10" t="inlineStr">
        <is>
          <t>구현 제안 포함 / 결정 필요</t>
        </is>
      </c>
      <c r="Y57" s="27" t="inlineStr">
        <is>
          <t>서버</t>
        </is>
      </c>
      <c r="Z57" s="27" t="inlineStr">
        <is>
          <t>BE-NOTIF-002</t>
        </is>
      </c>
    </row>
    <row r="59" ht="32" customHeight="1">
      <c r="A59" s="36" t="inlineStr">
        <is>
          <t>※ 적용여부 Y는 분석 단계 기준 시스템 반영 대상이라는 뜻이며, 업무 승인 여부는 X열(확정 여부)과 W열(통합 결정번호)을 따른다. 프로세스ID·화면ID는 "잠정 ID 목록" 시트의 잠정 ID이다. "미정"은 해당 가능성이 있으나 설계 문서가 없거나 결정 전인 항목, "N/A"는 해당 없음이다. Y열(구현 영역)은 화면(프런트엔드)·서버(백엔드) 구현 범위, Z열은 통합 전 원천 요구사항ID이다.</t>
        </is>
      </c>
    </row>
  </sheetData>
  <autoFilter ref="A4:Z57"/>
  <mergeCells count="6">
    <mergeCell ref="Q3:R3"/>
    <mergeCell ref="J3:P3"/>
    <mergeCell ref="A59:Z59"/>
    <mergeCell ref="A3:I3"/>
    <mergeCell ref="S3:T3"/>
    <mergeCell ref="U3:Z3"/>
  </mergeCells>
  <dataValidations count="1">
    <dataValidation sqref="G5:G57" showDropDown="0" showInputMessage="0" showErrorMessage="0" allowBlank="1" errorTitle="입력값 확인" error="적용여부는 Y / N / N/A 중에서 선택한다." type="list">
      <formula1>"Y,N,N/A"</formula1>
    </dataValidation>
  </dataValidation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18" customWidth="1" min="1" max="1"/>
    <col width="36" customWidth="1" min="2" max="2"/>
    <col width="40" customWidth="1" min="3" max="3"/>
    <col width="34" customWidth="1" min="4" max="4"/>
    <col width="26" customWidth="1" min="5" max="5"/>
    <col width="12" customWidth="1" min="6" max="6"/>
  </cols>
  <sheetData>
    <row r="1">
      <c r="A1" s="37" t="inlineStr">
        <is>
          <t>잠정 프로세스ID·화면ID 목록</t>
        </is>
      </c>
    </row>
    <row r="2">
      <c r="A2" s="38" t="inlineStr">
        <is>
          <t>프로세스 정의서·프로그램 설계서 작성 전 추적용 잠정 ID. 정식 ID가 부여되면 요구사항 추적표 H·J열과 함께 교체한다. 추적 요구사항 수는 요구사항 추적표를 세는 수식이다.</t>
        </is>
      </c>
    </row>
    <row r="4">
      <c r="A4" s="39" t="inlineStr">
        <is>
          <t>1. 잠정 프로세스</t>
        </is>
      </c>
    </row>
    <row r="5">
      <c r="A5" s="40" t="inlineStr">
        <is>
          <t>프로세스ID</t>
        </is>
      </c>
      <c r="B5" s="40" t="inlineStr">
        <is>
          <t>프로세스명</t>
        </is>
      </c>
      <c r="C5" s="40" t="inlineStr">
        <is>
          <t>대상 요구사항</t>
        </is>
      </c>
      <c r="D5" s="40" t="inlineStr">
        <is>
          <t>근거</t>
        </is>
      </c>
      <c r="E5" s="40" t="inlineStr">
        <is>
          <t>비고</t>
        </is>
      </c>
      <c r="F5" s="40" t="inlineStr">
        <is>
          <t>추적 요구사항 수</t>
        </is>
      </c>
    </row>
    <row r="6" ht="37" customHeight="1">
      <c r="A6" s="41" t="inlineStr">
        <is>
          <t>PRC-PQG-010</t>
        </is>
      </c>
      <c r="B6" s="41" t="inlineStr">
        <is>
          <t>사용자 인증·역할 결정</t>
        </is>
      </c>
      <c r="C6" s="41" t="inlineStr">
        <is>
          <t>RQ-AUTH-001, RQ-AUTH-002, RQ-AUTH-003</t>
        </is>
      </c>
      <c r="D6" s="41" t="inlineStr">
        <is>
          <t>목업 initLogin/selPersona/doLogin/doLogout (377~404행)</t>
        </is>
      </c>
      <c r="E6" s="41" t="inlineStr">
        <is>
          <t>목업 기반</t>
        </is>
      </c>
      <c r="F6" s="42">
        <f>COUNTIF('요구사항 추적표'!$H$5:$H$57,A6)</f>
        <v/>
      </c>
    </row>
    <row r="7" ht="37" customHeight="1">
      <c r="A7" s="41" t="inlineStr">
        <is>
          <t>PRC-PQG-020</t>
        </is>
      </c>
      <c r="B7" s="41" t="inlineStr">
        <is>
          <t>대시보드 현황 조회</t>
        </is>
      </c>
      <c r="C7" s="41" t="inlineStr">
        <is>
          <t>RQ-DASH-001, RQ-DASH-002, RQ-DASH-003, RQ-DASH-004, RQ-DASH-005, RQ-DASH-006</t>
        </is>
      </c>
      <c r="D7" s="41" t="inlineStr">
        <is>
          <t>목업 renderDash (434~598행)</t>
        </is>
      </c>
      <c r="E7" s="41" t="inlineStr">
        <is>
          <t>목업 기반</t>
        </is>
      </c>
      <c r="F7" s="42">
        <f>COUNTIF('요구사항 추적표'!$H$5:$H$57,A7)</f>
        <v/>
      </c>
    </row>
    <row r="8" ht="37" customHeight="1">
      <c r="A8" s="41" t="inlineStr">
        <is>
          <t>PRC-PQG-030</t>
        </is>
      </c>
      <c r="B8" s="41" t="inlineStr">
        <is>
          <t>기자재 목록·상세 조회</t>
        </is>
      </c>
      <c r="C8" s="41" t="inlineStr">
        <is>
          <t>RQ-AUTH-004, RQ-EQUIP-001, RQ-EQUIP-002, RQ-EQUIP-003</t>
        </is>
      </c>
      <c r="D8" s="41" t="inlineStr">
        <is>
          <t>목업 renderDash, openDetail/closeDet (540~666행)</t>
        </is>
      </c>
      <c r="E8" s="41" t="inlineStr">
        <is>
          <t>목업 기반</t>
        </is>
      </c>
      <c r="F8" s="42">
        <f>COUNTIF('요구사항 추적표'!$H$5:$H$57,A8)</f>
        <v/>
      </c>
    </row>
    <row r="9" ht="37" customHeight="1">
      <c r="A9" s="41" t="inlineStr">
        <is>
          <t>PRC-PQG-040</t>
        </is>
      </c>
      <c r="B9" s="41" t="inlineStr">
        <is>
          <t>위험도 산정 결과 조회</t>
        </is>
      </c>
      <c r="C9" s="41" t="inlineStr">
        <is>
          <t>RQ-SCORE-001, RQ-SCORE-002, RQ-SCORE-003</t>
        </is>
      </c>
      <c r="D9" s="41" t="inlineStr">
        <is>
          <t>목업 grade, renderScore (285, 669~790행)</t>
        </is>
      </c>
      <c r="E9" s="41" t="inlineStr">
        <is>
          <t>목업 기반</t>
        </is>
      </c>
      <c r="F9" s="42">
        <f>COUNTIF('요구사항 추적표'!$H$5:$H$57,A9)</f>
        <v/>
      </c>
    </row>
    <row r="10" ht="22.5" customHeight="1">
      <c r="A10" s="41" t="inlineStr">
        <is>
          <t>PRC-PQG-050</t>
        </is>
      </c>
      <c r="B10" s="41" t="inlineStr">
        <is>
          <t>점수 시뮬레이션</t>
        </is>
      </c>
      <c r="C10" s="41" t="inlineStr">
        <is>
          <t>RQ-SCORE-004</t>
        </is>
      </c>
      <c r="D10" s="41" t="inlineStr">
        <is>
          <t>목업 openSim/calcSim (1237~1258행)</t>
        </is>
      </c>
      <c r="E10" s="41" t="inlineStr">
        <is>
          <t>목업 기반</t>
        </is>
      </c>
      <c r="F10" s="42">
        <f>COUNTIF('요구사항 추적표'!$H$5:$H$57,A10)</f>
        <v/>
      </c>
    </row>
    <row r="11" ht="37" customHeight="1">
      <c r="A11" s="41" t="inlineStr">
        <is>
          <t>PRC-PQG-060</t>
        </is>
      </c>
      <c r="B11" s="41" t="inlineStr">
        <is>
          <t>과거 교훈 점검·증빙 승인</t>
        </is>
      </c>
      <c r="C11" s="41" t="inlineStr">
        <is>
          <t>RQ-LL-001, RQ-LL-002, RQ-LL-003, RQ-LL-004, RQ-LL-005, RQ-LL-006, RQ-LL-007</t>
        </is>
      </c>
      <c r="D11" s="41" t="inlineStr">
        <is>
          <t>목업 renderLL/simUp/reqAppr/doAppr (841~904행)</t>
        </is>
      </c>
      <c r="E11" s="41" t="inlineStr">
        <is>
          <t>목업 기반</t>
        </is>
      </c>
      <c r="F11" s="42">
        <f>COUNTIF('요구사항 추적표'!$H$5:$H$57,A11)</f>
        <v/>
      </c>
    </row>
    <row r="12" ht="37" customHeight="1">
      <c r="A12" s="41" t="inlineStr">
        <is>
          <t>PRC-PQG-070</t>
        </is>
      </c>
      <c r="B12" s="41" t="inlineStr">
        <is>
          <t>사양 비교·해명·품질 판정</t>
        </is>
      </c>
      <c r="C12" s="41" t="inlineStr">
        <is>
          <t>RQ-SPEC-001, RQ-SPEC-002, RQ-SPEC-003, RQ-SPEC-004, RQ-SPEC-005, RQ-SPEC-006</t>
        </is>
      </c>
      <c r="D12" s="41" t="inlineStr">
        <is>
          <t>목업 renderPOS/openPosModal/posDecision (906~1200행)</t>
        </is>
      </c>
      <c r="E12" s="41" t="inlineStr">
        <is>
          <t>목업 기반</t>
        </is>
      </c>
      <c r="F12" s="42">
        <f>COUNTIF('요구사항 추적표'!$H$5:$H$57,A12)</f>
        <v/>
      </c>
    </row>
    <row r="13" ht="66" customHeight="1">
      <c r="A13" s="41" t="inlineStr">
        <is>
          <t>PRC-PQG-080</t>
        </is>
      </c>
      <c r="B13" s="41" t="inlineStr">
        <is>
          <t>Gate 통제 판단·발주 진행 승인</t>
        </is>
      </c>
      <c r="C13" s="41" t="inlineStr">
        <is>
          <t>RQ-GATE-001, RQ-GATE-002, RQ-GATE-003, RQ-GATE-004, RQ-GATE-005, RQ-GATE-006, RQ-GATE-007, RQ-GATE-008, RQ-GATE-013, RQ-GATE-014</t>
        </is>
      </c>
      <c r="D13" s="41" t="inlineStr">
        <is>
          <t>목업 openDetail/unlockOrder (623~651, 832~838행)</t>
        </is>
      </c>
      <c r="E13" s="41" t="inlineStr">
        <is>
          <t>목업 기반</t>
        </is>
      </c>
      <c r="F13" s="42">
        <f>COUNTIF('요구사항 추적표'!$H$5:$H$57,A13)</f>
        <v/>
      </c>
    </row>
    <row r="14" ht="37" customHeight="1">
      <c r="A14" s="41" t="inlineStr">
        <is>
          <t>PRC-PQG-090</t>
        </is>
      </c>
      <c r="B14" s="41" t="inlineStr">
        <is>
          <t>조건부 통과 잔여조건 관리</t>
        </is>
      </c>
      <c r="C14" s="41" t="inlineStr">
        <is>
          <t>RQ-GATE-009</t>
        </is>
      </c>
      <c r="D14" s="41" t="inlineStr">
        <is>
          <t>목업 없음(설명 보고서 제5장 기반 제안)</t>
        </is>
      </c>
      <c r="E14" s="41" t="inlineStr">
        <is>
          <t>제안 신규</t>
        </is>
      </c>
      <c r="F14" s="42">
        <f>COUNTIF('요구사항 추적표'!$H$5:$H$57,A14)</f>
        <v/>
      </c>
    </row>
    <row r="15" ht="37" customHeight="1">
      <c r="A15" s="41" t="inlineStr">
        <is>
          <t>PRC-PQG-100</t>
        </is>
      </c>
      <c r="B15" s="41" t="inlineStr">
        <is>
          <t>승인 후 변경 재검토</t>
        </is>
      </c>
      <c r="C15" s="41" t="inlineStr">
        <is>
          <t>RQ-GATE-010</t>
        </is>
      </c>
      <c r="D15" s="41" t="inlineStr">
        <is>
          <t>목업 없음(설명 보고서 제9장 기반 제안)</t>
        </is>
      </c>
      <c r="E15" s="41" t="inlineStr">
        <is>
          <t>제안 신규</t>
        </is>
      </c>
      <c r="F15" s="42">
        <f>COUNTIF('요구사항 추적표'!$H$5:$H$57,A15)</f>
        <v/>
      </c>
    </row>
    <row r="16" ht="37" customHeight="1">
      <c r="A16" s="41" t="inlineStr">
        <is>
          <t>PRC-PQG-110</t>
        </is>
      </c>
      <c r="B16" s="41" t="inlineStr">
        <is>
          <t>발주서 단위 통제</t>
        </is>
      </c>
      <c r="C16" s="41" t="inlineStr">
        <is>
          <t>RQ-GATE-011</t>
        </is>
      </c>
      <c r="D16" s="41" t="inlineStr">
        <is>
          <t>목업 없음(설명 보고서 제7장 기반 제안, FD16)</t>
        </is>
      </c>
      <c r="E16" s="41" t="inlineStr">
        <is>
          <t>제안 신규</t>
        </is>
      </c>
      <c r="F16" s="42">
        <f>COUNTIF('요구사항 추적표'!$H$5:$H$57,A16)</f>
        <v/>
      </c>
    </row>
    <row r="17" ht="37" customHeight="1">
      <c r="A17" s="41" t="inlineStr">
        <is>
          <t>PRC-PQG-120</t>
        </is>
      </c>
      <c r="B17" s="41" t="inlineStr">
        <is>
          <t>승인 결과 외부 전달</t>
        </is>
      </c>
      <c r="C17" s="41" t="inlineStr">
        <is>
          <t>RQ-GATE-012</t>
        </is>
      </c>
      <c r="D17" s="41" t="inlineStr">
        <is>
          <t>목업 unlockOrder 안내 문구(836행)만 존재</t>
        </is>
      </c>
      <c r="E17" s="41" t="inlineStr">
        <is>
          <t>목업 기반</t>
        </is>
      </c>
      <c r="F17" s="42">
        <f>COUNTIF('요구사항 추적표'!$H$5:$H$57,A17)</f>
        <v/>
      </c>
    </row>
    <row r="18" ht="37" customHeight="1">
      <c r="A18" s="41" t="inlineStr">
        <is>
          <t>PRC-PQG-130</t>
        </is>
      </c>
      <c r="B18" s="41" t="inlineStr">
        <is>
          <t>평가기준 관리</t>
        </is>
      </c>
      <c r="C18" s="41" t="inlineStr">
        <is>
          <t>RQ-CONFIG-001, RQ-CONFIG-002, RQ-CONFIG-003</t>
        </is>
      </c>
      <c r="D18" s="41" t="inlineStr">
        <is>
          <t>목업 openSettings/applySt/resetSt (1210~1235행)</t>
        </is>
      </c>
      <c r="E18" s="41" t="inlineStr">
        <is>
          <t>목업 기반</t>
        </is>
      </c>
      <c r="F18" s="42">
        <f>COUNTIF('요구사항 추적표'!$H$5:$H$57,A18)</f>
        <v/>
      </c>
    </row>
    <row r="19" ht="37" customHeight="1">
      <c r="A19" s="41" t="inlineStr">
        <is>
          <t>PRC-PQG-140</t>
        </is>
      </c>
      <c r="B19" s="41" t="inlineStr">
        <is>
          <t>업무 알림</t>
        </is>
      </c>
      <c r="C19" s="41" t="inlineStr">
        <is>
          <t>RQ-NOTIF-001, RQ-NOTIF-002, RQ-NOTIF-003, RQ-NOTIF-004, RQ-NOTIF-005</t>
        </is>
      </c>
      <c r="D19" s="41" t="inlineStr">
        <is>
          <t>목업 toggleNotifTray, renderDash, toast (372~485, 1303행)</t>
        </is>
      </c>
      <c r="E19" s="41" t="inlineStr">
        <is>
          <t>목업 기반</t>
        </is>
      </c>
      <c r="F19" s="42">
        <f>COUNTIF('요구사항 추적표'!$H$5:$H$57,A19)</f>
        <v/>
      </c>
    </row>
    <row r="20" ht="51.5" customHeight="1">
      <c r="A20" s="41" t="inlineStr">
        <is>
          <t>PRC-PQG-150</t>
        </is>
      </c>
      <c r="B20" s="41" t="inlineStr">
        <is>
          <t>외부 원천 데이터 연계</t>
        </is>
      </c>
      <c r="C20" s="41" t="inlineStr">
        <is>
          <t>RQ-CONFIG-004</t>
        </is>
      </c>
      <c r="D20" s="41" t="inlineStr">
        <is>
          <t>목업 화면 문구(PM Portal·PLM·ERP)만 존재, 백엔드 BE-CONFIG-003 기반 제안</t>
        </is>
      </c>
      <c r="E20" s="41" t="inlineStr">
        <is>
          <t>제안 신규</t>
        </is>
      </c>
      <c r="F20" s="42">
        <f>COUNTIF('요구사항 추적표'!$H$5:$H$57,A20)</f>
        <v/>
      </c>
    </row>
    <row r="23">
      <c r="A23" s="39" t="inlineStr">
        <is>
          <t>2. 잠정 화면</t>
        </is>
      </c>
    </row>
    <row r="24">
      <c r="A24" s="40" t="inlineStr">
        <is>
          <t>화면ID</t>
        </is>
      </c>
      <c r="B24" s="40" t="inlineStr">
        <is>
          <t>화면명</t>
        </is>
      </c>
      <c r="C24" s="40" t="inlineStr">
        <is>
          <t>대상 요구사항</t>
        </is>
      </c>
      <c r="D24" s="40" t="inlineStr">
        <is>
          <t>근거 / 구분</t>
        </is>
      </c>
      <c r="E24" s="40" t="inlineStr">
        <is>
          <t>비고</t>
        </is>
      </c>
      <c r="F24" s="40" t="inlineStr">
        <is>
          <t>추적 요구사항 수</t>
        </is>
      </c>
    </row>
    <row r="25" ht="37" customHeight="1">
      <c r="A25" s="41" t="inlineStr">
        <is>
          <t>PQG-LGN-010-M1</t>
        </is>
      </c>
      <c r="B25" s="41" t="inlineStr">
        <is>
          <t>로그인 화면</t>
        </is>
      </c>
      <c r="C25" s="41" t="inlineStr">
        <is>
          <t>RQ-AUTH-001, RQ-AUTH-002</t>
        </is>
      </c>
      <c r="D25" s="41" t="inlineStr">
        <is>
          <t>목업 initLogin (377~397행) / 목업 존재</t>
        </is>
      </c>
      <c r="E25" s="41" t="inlineStr">
        <is>
          <t>M1=기본 화면·영역</t>
        </is>
      </c>
      <c r="F25" s="42">
        <f>SUMPRODUCT(--ISNUMBER(FIND(A25,'요구사항 추적표'!$J$5:$J$57)))</f>
        <v/>
      </c>
    </row>
    <row r="26" ht="124" customHeight="1">
      <c r="A26" s="41" t="inlineStr">
        <is>
          <t>PQG-DSH-010-M1</t>
        </is>
      </c>
      <c r="B26" s="41" t="inlineStr">
        <is>
          <t>대시보드(요약 카드·지표·위험 배너·체계분류 목록)</t>
        </is>
      </c>
      <c r="C26" s="41" t="inlineStr">
        <is>
          <t>RQ-AUTH-002, RQ-AUTH-003, RQ-AUTH-004, RQ-DASH-001, RQ-DASH-002, RQ-DASH-003, RQ-DASH-004, RQ-DASH-005, RQ-DASH-006, RQ-EQUIP-001, RQ-EQUIP-002, RQ-SCORE-001, RQ-LL-005, RQ-SPEC-006, RQ-GATE-002, RQ-GATE-005, RQ-GATE-007, RQ-GATE-010, RQ-GATE-011, RQ-CONFIG-002, RQ-NOTIF-004, RQ-NOTIF-005</t>
        </is>
      </c>
      <c r="D26" s="41" t="inlineStr">
        <is>
          <t>목업 renderDash (434~598행) / 목업 존재</t>
        </is>
      </c>
      <c r="E26" s="41" t="inlineStr">
        <is>
          <t>M1=기본 화면·영역</t>
        </is>
      </c>
      <c r="F26" s="42">
        <f>SUMPRODUCT(--ISNUMBER(FIND(A26,'요구사항 추적표'!$J$5:$J$57)))</f>
        <v/>
      </c>
    </row>
    <row r="27" ht="80.5" customHeight="1">
      <c r="A27" s="41" t="inlineStr">
        <is>
          <t>PQG-EQP-010-M1</t>
        </is>
      </c>
      <c r="B27" s="41" t="inlineStr">
        <is>
          <t>기자재 상세(상단 Gate 흐름·판단 영역)</t>
        </is>
      </c>
      <c r="C27" s="41" t="inlineStr">
        <is>
          <t>RQ-AUTH-003, RQ-AUTH-004, RQ-EQUIP-002, RQ-EQUIP-003, RQ-GATE-001, RQ-GATE-002, RQ-GATE-003, RQ-GATE-004, RQ-GATE-006, RQ-GATE-007, RQ-GATE-010, RQ-GATE-012, RQ-NOTIF-002</t>
        </is>
      </c>
      <c r="D27" s="41" t="inlineStr">
        <is>
          <t>목업 openDetail (600~666행) / 목업 존재 + 영역 추가 제안</t>
        </is>
      </c>
      <c r="E27" s="41" t="inlineStr">
        <is>
          <t>M1=기본 화면·영역</t>
        </is>
      </c>
      <c r="F27" s="42">
        <f>SUMPRODUCT(--ISNUMBER(FIND(A27,'요구사항 추적표'!$J$5:$J$57)))</f>
        <v/>
      </c>
    </row>
    <row r="28" ht="51.5" customHeight="1">
      <c r="A28" s="41" t="inlineStr">
        <is>
          <t>PQG-EQP-020-M1</t>
        </is>
      </c>
      <c r="B28" s="41" t="inlineStr">
        <is>
          <t>교훈 점검 탭</t>
        </is>
      </c>
      <c r="C28" s="41" t="inlineStr">
        <is>
          <t>RQ-EQUIP-003, RQ-LL-001, RQ-LL-002, RQ-LL-003, RQ-LL-004, RQ-LL-005, RQ-LL-006, RQ-LL-007, RQ-GATE-008</t>
        </is>
      </c>
      <c r="D28" s="41" t="inlineStr">
        <is>
          <t>목업 renderLL (841~888행) / 목업 존재</t>
        </is>
      </c>
      <c r="E28" s="41" t="inlineStr">
        <is>
          <t>M1=기본 화면·영역</t>
        </is>
      </c>
      <c r="F28" s="42">
        <f>SUMPRODUCT(--ISNUMBER(FIND(A28,'요구사항 추적표'!$J$5:$J$57)))</f>
        <v/>
      </c>
    </row>
    <row r="29" ht="37" customHeight="1">
      <c r="A29" s="41" t="inlineStr">
        <is>
          <t>PQG-EQP-030-M1</t>
        </is>
      </c>
      <c r="B29" s="41" t="inlineStr">
        <is>
          <t>사양 비교 탭</t>
        </is>
      </c>
      <c r="C29" s="41" t="inlineStr">
        <is>
          <t>RQ-EQUIP-003, RQ-SPEC-001, RQ-SPEC-004, RQ-SPEC-005, RQ-SPEC-006, RQ-GATE-008</t>
        </is>
      </c>
      <c r="D29" s="41" t="inlineStr">
        <is>
          <t>목업 renderPOS (906~969행) / 목업 존재</t>
        </is>
      </c>
      <c r="E29" s="41" t="inlineStr">
        <is>
          <t>M1=기본 화면·영역</t>
        </is>
      </c>
      <c r="F29" s="42">
        <f>SUMPRODUCT(--ISNUMBER(FIND(A29,'요구사항 추적표'!$J$5:$J$57)))</f>
        <v/>
      </c>
    </row>
    <row r="30" ht="37" customHeight="1">
      <c r="A30" s="41" t="inlineStr">
        <is>
          <t>PQG-EQP-031-P1</t>
        </is>
      </c>
      <c r="B30" s="41" t="inlineStr">
        <is>
          <t>사양 해명 작성·검토 창</t>
        </is>
      </c>
      <c r="C30" s="41" t="inlineStr">
        <is>
          <t>RQ-SPEC-002, RQ-SPEC-003, RQ-SPEC-004, RQ-SPEC-005</t>
        </is>
      </c>
      <c r="D30" s="41" t="inlineStr">
        <is>
          <t>목업 openPosModal (974~1200행) / 목업 존재</t>
        </is>
      </c>
      <c r="E30" s="41" t="inlineStr">
        <is>
          <t>P1=팝업 창</t>
        </is>
      </c>
      <c r="F30" s="42">
        <f>SUMPRODUCT(--ISNUMBER(FIND(A30,'요구사항 추적표'!$J$5:$J$57)))</f>
        <v/>
      </c>
    </row>
    <row r="31" ht="37" customHeight="1">
      <c r="A31" s="41" t="inlineStr">
        <is>
          <t>PQG-EQP-040-M1</t>
        </is>
      </c>
      <c r="B31" s="41" t="inlineStr">
        <is>
          <t>위험도 산정 근거 탭</t>
        </is>
      </c>
      <c r="C31" s="41" t="inlineStr">
        <is>
          <t>RQ-EQUIP-003, RQ-SCORE-001, RQ-SCORE-002, RQ-SCORE-003</t>
        </is>
      </c>
      <c r="D31" s="41" t="inlineStr">
        <is>
          <t>목업 renderScore (669~790행) / 목업 존재</t>
        </is>
      </c>
      <c r="E31" s="41" t="inlineStr">
        <is>
          <t>M1=기본 화면·영역</t>
        </is>
      </c>
      <c r="F31" s="42">
        <f>SUMPRODUCT(--ISNUMBER(FIND(A31,'요구사항 추적표'!$J$5:$J$57)))</f>
        <v/>
      </c>
    </row>
    <row r="32" ht="37" customHeight="1">
      <c r="A32" s="41" t="inlineStr">
        <is>
          <t>PQG-EQP-050-P1</t>
        </is>
      </c>
      <c r="B32" s="41" t="inlineStr">
        <is>
          <t>발주 진행 승인 입력 창(정상·조건부)</t>
        </is>
      </c>
      <c r="C32" s="41" t="inlineStr">
        <is>
          <t>RQ-GATE-003, RQ-GATE-004</t>
        </is>
      </c>
      <c r="D32" s="41" t="inlineStr">
        <is>
          <t>목업 unlockOrder confirm (833행) / 제안 신규(목업은 확인 대화상자만)</t>
        </is>
      </c>
      <c r="E32" s="41" t="inlineStr">
        <is>
          <t>P1=팝업 창</t>
        </is>
      </c>
      <c r="F32" s="42">
        <f>SUMPRODUCT(--ISNUMBER(FIND(A32,'요구사항 추적표'!$J$5:$J$57)))</f>
        <v/>
      </c>
    </row>
    <row r="33" ht="37" customHeight="1">
      <c r="A33" s="41" t="inlineStr">
        <is>
          <t>PQG-EQP-060-M1</t>
        </is>
      </c>
      <c r="B33" s="41" t="inlineStr">
        <is>
          <t>Gate 필수조건·판단 단계 영역</t>
        </is>
      </c>
      <c r="C33" s="41" t="inlineStr">
        <is>
          <t>RQ-GATE-008, RQ-GATE-013</t>
        </is>
      </c>
      <c r="D33" s="41" t="inlineStr">
        <is>
          <t>요구사항 FE-GATE-008, FE-GATE-013 / 제안 신규</t>
        </is>
      </c>
      <c r="E33" s="41" t="inlineStr">
        <is>
          <t>M1=기본 화면·영역</t>
        </is>
      </c>
      <c r="F33" s="42">
        <f>SUMPRODUCT(--ISNUMBER(FIND(A33,'요구사항 추적표'!$J$5:$J$57)))</f>
        <v/>
      </c>
    </row>
    <row r="34" ht="22.5" customHeight="1">
      <c r="A34" s="41" t="inlineStr">
        <is>
          <t>PQG-EQP-070-M1</t>
        </is>
      </c>
      <c r="B34" s="41" t="inlineStr">
        <is>
          <t>조건부 통과 잔여조건 영역</t>
        </is>
      </c>
      <c r="C34" s="41" t="inlineStr">
        <is>
          <t>RQ-GATE-009</t>
        </is>
      </c>
      <c r="D34" s="41" t="inlineStr">
        <is>
          <t>요구사항 FE-GATE-009 / 제안 신규</t>
        </is>
      </c>
      <c r="E34" s="41" t="inlineStr">
        <is>
          <t>M1=기본 화면·영역</t>
        </is>
      </c>
      <c r="F34" s="42">
        <f>SUMPRODUCT(--ISNUMBER(FIND(A34,'요구사항 추적표'!$J$5:$J$57)))</f>
        <v/>
      </c>
    </row>
    <row r="35" ht="37" customHeight="1">
      <c r="A35" s="41" t="inlineStr">
        <is>
          <t>PQG-POD-010-M1</t>
        </is>
      </c>
      <c r="B35" s="41" t="inlineStr">
        <is>
          <t>발주서 통제 보기</t>
        </is>
      </c>
      <c r="C35" s="41" t="inlineStr">
        <is>
          <t>RQ-GATE-011</t>
        </is>
      </c>
      <c r="D35" s="41" t="inlineStr">
        <is>
          <t>요구사항 FE-GATE-011 / 제안 신규(FD16 결정 후)</t>
        </is>
      </c>
      <c r="E35" s="41" t="inlineStr">
        <is>
          <t>M1=기본 화면·영역</t>
        </is>
      </c>
      <c r="F35" s="42">
        <f>SUMPRODUCT(--ISNUMBER(FIND(A35,'요구사항 추적표'!$J$5:$J$57)))</f>
        <v/>
      </c>
    </row>
    <row r="36" ht="37" customHeight="1">
      <c r="A36" s="41" t="inlineStr">
        <is>
          <t>PQG-SIM-010-P1</t>
        </is>
      </c>
      <c r="B36" s="41" t="inlineStr">
        <is>
          <t>점수 시뮬레이터 창</t>
        </is>
      </c>
      <c r="C36" s="41" t="inlineStr">
        <is>
          <t>RQ-SCORE-001, RQ-SCORE-004, RQ-CONFIG-003</t>
        </is>
      </c>
      <c r="D36" s="41" t="inlineStr">
        <is>
          <t>목업 openSim (1237~1258행) / 목업 존재</t>
        </is>
      </c>
      <c r="E36" s="41" t="inlineStr">
        <is>
          <t>P1=팝업 창</t>
        </is>
      </c>
      <c r="F36" s="42">
        <f>SUMPRODUCT(--ISNUMBER(FIND(A36,'요구사항 추적표'!$J$5:$J$57)))</f>
        <v/>
      </c>
    </row>
    <row r="37" ht="37" customHeight="1">
      <c r="A37" s="41" t="inlineStr">
        <is>
          <t>PQG-CFG-010-P1</t>
        </is>
      </c>
      <c r="B37" s="41" t="inlineStr">
        <is>
          <t>평가기준 설정 창</t>
        </is>
      </c>
      <c r="C37" s="41" t="inlineStr">
        <is>
          <t>RQ-AUTH-003, RQ-CONFIG-001, RQ-CONFIG-002, RQ-CONFIG-003</t>
        </is>
      </c>
      <c r="D37" s="41" t="inlineStr">
        <is>
          <t>목업 openSettings (1210~1236행) / 목업 존재</t>
        </is>
      </c>
      <c r="E37" s="41" t="inlineStr">
        <is>
          <t>P1=팝업 창</t>
        </is>
      </c>
      <c r="F37" s="42">
        <f>SUMPRODUCT(--ISNUMBER(FIND(A37,'요구사항 추적표'!$J$5:$J$57)))</f>
        <v/>
      </c>
    </row>
    <row r="38" ht="37" customHeight="1">
      <c r="A38" s="41" t="inlineStr">
        <is>
          <t>PQG-NTF-010-M1</t>
        </is>
      </c>
      <c r="B38" s="41" t="inlineStr">
        <is>
          <t>알림 트레이</t>
        </is>
      </c>
      <c r="C38" s="41" t="inlineStr">
        <is>
          <t>RQ-NOTIF-001, RQ-NOTIF-002, RQ-NOTIF-004, RQ-NOTIF-005</t>
        </is>
      </c>
      <c r="D38" s="41" t="inlineStr">
        <is>
          <t>목업 toggleNotifTray, renderDash (372~374, 461~485행) / 목업 존재</t>
        </is>
      </c>
      <c r="E38" s="41" t="inlineStr">
        <is>
          <t>M1=기본 화면·영역</t>
        </is>
      </c>
      <c r="F38" s="42">
        <f>SUMPRODUCT(--ISNUMBER(FIND(A38,'요구사항 추적표'!$J$5:$J$57)))</f>
        <v/>
      </c>
    </row>
    <row r="39" ht="22.5" customHeight="1">
      <c r="A39" s="41" t="inlineStr">
        <is>
          <t>PQG-CMN-010-M1</t>
        </is>
      </c>
      <c r="B39" s="41" t="inlineStr">
        <is>
          <t>처리 결과 안내 메시지(공통)</t>
        </is>
      </c>
      <c r="C39" s="41" t="inlineStr">
        <is>
          <t>RQ-NOTIF-003</t>
        </is>
      </c>
      <c r="D39" s="41" t="inlineStr">
        <is>
          <t>목업 toast (1303행) / 목업 존재</t>
        </is>
      </c>
      <c r="E39" s="41" t="inlineStr">
        <is>
          <t>M1=기본 화면·영역</t>
        </is>
      </c>
      <c r="F39" s="42">
        <f>SUMPRODUCT(--ISNUMBER(FIND(A39,'요구사항 추적표'!$J$5:$J$57)))</f>
        <v/>
      </c>
    </row>
  </sheetData>
  <mergeCells count="1">
    <mergeCell ref="A2:F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5"/>
  <sheetViews>
    <sheetView workbookViewId="0">
      <selection activeCell="A1" sqref="A1"/>
    </sheetView>
  </sheetViews>
  <sheetFormatPr baseColWidth="8" defaultRowHeight="15"/>
  <cols>
    <col width="22" customWidth="1" min="1" max="1"/>
    <col width="30" customWidth="1" min="2" max="2"/>
    <col width="14" customWidth="1" min="3" max="3"/>
    <col width="14" customWidth="1" min="4" max="4"/>
    <col width="14" customWidth="1" min="5" max="5"/>
    <col width="14" customWidth="1" min="6" max="6"/>
    <col width="14" customWidth="1" min="7" max="7"/>
    <col width="60" customWidth="1" min="8" max="8"/>
  </cols>
  <sheetData>
    <row r="1">
      <c r="A1" s="37" t="inlineStr">
        <is>
          <t>추적 점검(정방향·역방향)</t>
        </is>
      </c>
    </row>
    <row r="2">
      <c r="A2" s="38" t="inlineStr">
        <is>
          <t>건수 열은 요구사항 추적표를 세는 수식이다. 요구사항ID 목록은 작성 시점 값이다.</t>
        </is>
      </c>
    </row>
    <row r="4">
      <c r="A4" s="39" t="inlineStr">
        <is>
          <t>1. 중분류별 추적 현황</t>
        </is>
      </c>
    </row>
    <row r="5">
      <c r="A5" s="40" t="inlineStr">
        <is>
          <t>중분류</t>
        </is>
      </c>
      <c r="B5" s="40" t="inlineStr">
        <is>
          <t>요구사항 수</t>
        </is>
      </c>
      <c r="C5" s="40" t="inlineStr">
        <is>
          <t>화면+서버</t>
        </is>
      </c>
      <c r="D5" s="40" t="inlineStr">
        <is>
          <t>화면</t>
        </is>
      </c>
      <c r="E5" s="40" t="inlineStr">
        <is>
          <t>서버</t>
        </is>
      </c>
      <c r="F5" s="40" t="inlineStr">
        <is>
          <t>결정 필요</t>
        </is>
      </c>
      <c r="G5" s="40" t="inlineStr">
        <is>
          <t>인터페이스 후보</t>
        </is>
      </c>
      <c r="H5" s="40" t="inlineStr">
        <is>
          <t>요구사항ID</t>
        </is>
      </c>
    </row>
    <row r="6" ht="22.5" customHeight="1">
      <c r="A6" s="41" t="inlineStr">
        <is>
          <t>접속·역할</t>
        </is>
      </c>
      <c r="B6" s="43">
        <f>COUNTIF('요구사항 추적표'!$C$5:$C$57,A6)</f>
        <v/>
      </c>
      <c r="C6" s="43">
        <f>COUNTIFS('요구사항 추적표'!$C$5:$C$57,A6,'요구사항 추적표'!$Y$5:$Y$57,"화면+서버")</f>
        <v/>
      </c>
      <c r="D6" s="43">
        <f>COUNTIFS('요구사항 추적표'!$C$5:$C$57,A6,'요구사항 추적표'!$Y$5:$Y$57,"화면")</f>
        <v/>
      </c>
      <c r="E6" s="43">
        <f>COUNTIFS('요구사항 추적표'!$C$5:$C$57,A6,'요구사항 추적표'!$Y$5:$Y$57,"서버")</f>
        <v/>
      </c>
      <c r="F6" s="43">
        <f>COUNTIFS('요구사항 추적표'!$C$5:$C$57,A6,'요구사항 추적표'!$X$5:$X$57,"*결정 필요*")</f>
        <v/>
      </c>
      <c r="G6" s="43">
        <f>COUNTIFS('요구사항 추적표'!$C$5:$C$57,A6,'요구사항 추적표'!$N$5:$N$57,"미정")</f>
        <v/>
      </c>
      <c r="H6" s="41" t="inlineStr">
        <is>
          <t>RQ-AUTH-001, RQ-AUTH-002, RQ-AUTH-003, RQ-AUTH-004</t>
        </is>
      </c>
    </row>
    <row r="7" ht="37" customHeight="1">
      <c r="A7" s="41" t="inlineStr">
        <is>
          <t>대시보드</t>
        </is>
      </c>
      <c r="B7" s="43">
        <f>COUNTIF('요구사항 추적표'!$C$5:$C$57,A7)</f>
        <v/>
      </c>
      <c r="C7" s="43">
        <f>COUNTIFS('요구사항 추적표'!$C$5:$C$57,A7,'요구사항 추적표'!$Y$5:$Y$57,"화면+서버")</f>
        <v/>
      </c>
      <c r="D7" s="43">
        <f>COUNTIFS('요구사항 추적표'!$C$5:$C$57,A7,'요구사항 추적표'!$Y$5:$Y$57,"화면")</f>
        <v/>
      </c>
      <c r="E7" s="43">
        <f>COUNTIFS('요구사항 추적표'!$C$5:$C$57,A7,'요구사항 추적표'!$Y$5:$Y$57,"서버")</f>
        <v/>
      </c>
      <c r="F7" s="43">
        <f>COUNTIFS('요구사항 추적표'!$C$5:$C$57,A7,'요구사항 추적표'!$X$5:$X$57,"*결정 필요*")</f>
        <v/>
      </c>
      <c r="G7" s="43">
        <f>COUNTIFS('요구사항 추적표'!$C$5:$C$57,A7,'요구사항 추적표'!$N$5:$N$57,"미정")</f>
        <v/>
      </c>
      <c r="H7" s="41" t="inlineStr">
        <is>
          <t>RQ-DASH-001, RQ-DASH-002, RQ-DASH-003, RQ-DASH-004, RQ-DASH-005, RQ-DASH-006</t>
        </is>
      </c>
    </row>
    <row r="8" ht="22.5" customHeight="1">
      <c r="A8" s="41" t="inlineStr">
        <is>
          <t>기자재</t>
        </is>
      </c>
      <c r="B8" s="43">
        <f>COUNTIF('요구사항 추적표'!$C$5:$C$57,A8)</f>
        <v/>
      </c>
      <c r="C8" s="43">
        <f>COUNTIFS('요구사항 추적표'!$C$5:$C$57,A8,'요구사항 추적표'!$Y$5:$Y$57,"화면+서버")</f>
        <v/>
      </c>
      <c r="D8" s="43">
        <f>COUNTIFS('요구사항 추적표'!$C$5:$C$57,A8,'요구사항 추적표'!$Y$5:$Y$57,"화면")</f>
        <v/>
      </c>
      <c r="E8" s="43">
        <f>COUNTIFS('요구사항 추적표'!$C$5:$C$57,A8,'요구사항 추적표'!$Y$5:$Y$57,"서버")</f>
        <v/>
      </c>
      <c r="F8" s="43">
        <f>COUNTIFS('요구사항 추적표'!$C$5:$C$57,A8,'요구사항 추적표'!$X$5:$X$57,"*결정 필요*")</f>
        <v/>
      </c>
      <c r="G8" s="43">
        <f>COUNTIFS('요구사항 추적표'!$C$5:$C$57,A8,'요구사항 추적표'!$N$5:$N$57,"미정")</f>
        <v/>
      </c>
      <c r="H8" s="41" t="inlineStr">
        <is>
          <t>RQ-EQUIP-001, RQ-EQUIP-002, RQ-EQUIP-003</t>
        </is>
      </c>
    </row>
    <row r="9" ht="22.5" customHeight="1">
      <c r="A9" s="41" t="inlineStr">
        <is>
          <t>위험평가</t>
        </is>
      </c>
      <c r="B9" s="43">
        <f>COUNTIF('요구사항 추적표'!$C$5:$C$57,A9)</f>
        <v/>
      </c>
      <c r="C9" s="43">
        <f>COUNTIFS('요구사항 추적표'!$C$5:$C$57,A9,'요구사항 추적표'!$Y$5:$Y$57,"화면+서버")</f>
        <v/>
      </c>
      <c r="D9" s="43">
        <f>COUNTIFS('요구사항 추적표'!$C$5:$C$57,A9,'요구사항 추적표'!$Y$5:$Y$57,"화면")</f>
        <v/>
      </c>
      <c r="E9" s="43">
        <f>COUNTIFS('요구사항 추적표'!$C$5:$C$57,A9,'요구사항 추적표'!$Y$5:$Y$57,"서버")</f>
        <v/>
      </c>
      <c r="F9" s="43">
        <f>COUNTIFS('요구사항 추적표'!$C$5:$C$57,A9,'요구사항 추적표'!$X$5:$X$57,"*결정 필요*")</f>
        <v/>
      </c>
      <c r="G9" s="43">
        <f>COUNTIFS('요구사항 추적표'!$C$5:$C$57,A9,'요구사항 추적표'!$N$5:$N$57,"미정")</f>
        <v/>
      </c>
      <c r="H9" s="41" t="inlineStr">
        <is>
          <t>RQ-SCORE-001, RQ-SCORE-002, RQ-SCORE-003, RQ-SCORE-004</t>
        </is>
      </c>
    </row>
    <row r="10" ht="37" customHeight="1">
      <c r="A10" s="41" t="inlineStr">
        <is>
          <t>점검·증빙</t>
        </is>
      </c>
      <c r="B10" s="43">
        <f>COUNTIF('요구사항 추적표'!$C$5:$C$57,A10)</f>
        <v/>
      </c>
      <c r="C10" s="43">
        <f>COUNTIFS('요구사항 추적표'!$C$5:$C$57,A10,'요구사항 추적표'!$Y$5:$Y$57,"화면+서버")</f>
        <v/>
      </c>
      <c r="D10" s="43">
        <f>COUNTIFS('요구사항 추적표'!$C$5:$C$57,A10,'요구사항 추적표'!$Y$5:$Y$57,"화면")</f>
        <v/>
      </c>
      <c r="E10" s="43">
        <f>COUNTIFS('요구사항 추적표'!$C$5:$C$57,A10,'요구사항 추적표'!$Y$5:$Y$57,"서버")</f>
        <v/>
      </c>
      <c r="F10" s="43">
        <f>COUNTIFS('요구사항 추적표'!$C$5:$C$57,A10,'요구사항 추적표'!$X$5:$X$57,"*결정 필요*")</f>
        <v/>
      </c>
      <c r="G10" s="43">
        <f>COUNTIFS('요구사항 추적표'!$C$5:$C$57,A10,'요구사항 추적표'!$N$5:$N$57,"미정")</f>
        <v/>
      </c>
      <c r="H10" s="41" t="inlineStr">
        <is>
          <t>RQ-LL-001, RQ-LL-002, RQ-LL-003, RQ-LL-004, RQ-LL-005, RQ-LL-006, RQ-LL-007</t>
        </is>
      </c>
    </row>
    <row r="11" ht="37" customHeight="1">
      <c r="A11" s="41" t="inlineStr">
        <is>
          <t>사양비교·해명</t>
        </is>
      </c>
      <c r="B11" s="43">
        <f>COUNTIF('요구사항 추적표'!$C$5:$C$57,A11)</f>
        <v/>
      </c>
      <c r="C11" s="43">
        <f>COUNTIFS('요구사항 추적표'!$C$5:$C$57,A11,'요구사항 추적표'!$Y$5:$Y$57,"화면+서버")</f>
        <v/>
      </c>
      <c r="D11" s="43">
        <f>COUNTIFS('요구사항 추적표'!$C$5:$C$57,A11,'요구사항 추적표'!$Y$5:$Y$57,"화면")</f>
        <v/>
      </c>
      <c r="E11" s="43">
        <f>COUNTIFS('요구사항 추적표'!$C$5:$C$57,A11,'요구사항 추적표'!$Y$5:$Y$57,"서버")</f>
        <v/>
      </c>
      <c r="F11" s="43">
        <f>COUNTIFS('요구사항 추적표'!$C$5:$C$57,A11,'요구사항 추적표'!$X$5:$X$57,"*결정 필요*")</f>
        <v/>
      </c>
      <c r="G11" s="43">
        <f>COUNTIFS('요구사항 추적표'!$C$5:$C$57,A11,'요구사항 추적표'!$N$5:$N$57,"미정")</f>
        <v/>
      </c>
      <c r="H11" s="41" t="inlineStr">
        <is>
          <t>RQ-SPEC-001, RQ-SPEC-002, RQ-SPEC-003, RQ-SPEC-004, RQ-SPEC-005, RQ-SPEC-006</t>
        </is>
      </c>
    </row>
    <row r="12" ht="51.5" customHeight="1">
      <c r="A12" s="41" t="inlineStr">
        <is>
          <t>발주통제</t>
        </is>
      </c>
      <c r="B12" s="43">
        <f>COUNTIF('요구사항 추적표'!$C$5:$C$57,A12)</f>
        <v/>
      </c>
      <c r="C12" s="43">
        <f>COUNTIFS('요구사항 추적표'!$C$5:$C$57,A12,'요구사항 추적표'!$Y$5:$Y$57,"화면+서버")</f>
        <v/>
      </c>
      <c r="D12" s="43">
        <f>COUNTIFS('요구사항 추적표'!$C$5:$C$57,A12,'요구사항 추적표'!$Y$5:$Y$57,"화면")</f>
        <v/>
      </c>
      <c r="E12" s="43">
        <f>COUNTIFS('요구사항 추적표'!$C$5:$C$57,A12,'요구사항 추적표'!$Y$5:$Y$57,"서버")</f>
        <v/>
      </c>
      <c r="F12" s="43">
        <f>COUNTIFS('요구사항 추적표'!$C$5:$C$57,A12,'요구사항 추적표'!$X$5:$X$57,"*결정 필요*")</f>
        <v/>
      </c>
      <c r="G12" s="43">
        <f>COUNTIFS('요구사항 추적표'!$C$5:$C$57,A12,'요구사항 추적표'!$N$5:$N$57,"미정")</f>
        <v/>
      </c>
      <c r="H12" s="41" t="inlineStr">
        <is>
          <t>RQ-GATE-001, RQ-GATE-002, RQ-GATE-003, RQ-GATE-004, RQ-GATE-005, RQ-GATE-006, RQ-GATE-007, RQ-GATE-008, RQ-GATE-009, RQ-GATE-010, RQ-GATE-011, RQ-GATE-012, RQ-GATE-013, RQ-GATE-014</t>
        </is>
      </c>
    </row>
    <row r="13" ht="22.5" customHeight="1">
      <c r="A13" s="41" t="inlineStr">
        <is>
          <t>평가기준</t>
        </is>
      </c>
      <c r="B13" s="43">
        <f>COUNTIF('요구사항 추적표'!$C$5:$C$57,A13)</f>
        <v/>
      </c>
      <c r="C13" s="43">
        <f>COUNTIFS('요구사항 추적표'!$C$5:$C$57,A13,'요구사항 추적표'!$Y$5:$Y$57,"화면+서버")</f>
        <v/>
      </c>
      <c r="D13" s="43">
        <f>COUNTIFS('요구사항 추적표'!$C$5:$C$57,A13,'요구사항 추적표'!$Y$5:$Y$57,"화면")</f>
        <v/>
      </c>
      <c r="E13" s="43">
        <f>COUNTIFS('요구사항 추적표'!$C$5:$C$57,A13,'요구사항 추적표'!$Y$5:$Y$57,"서버")</f>
        <v/>
      </c>
      <c r="F13" s="43">
        <f>COUNTIFS('요구사항 추적표'!$C$5:$C$57,A13,'요구사항 추적표'!$X$5:$X$57,"*결정 필요*")</f>
        <v/>
      </c>
      <c r="G13" s="43">
        <f>COUNTIFS('요구사항 추적표'!$C$5:$C$57,A13,'요구사항 추적표'!$N$5:$N$57,"미정")</f>
        <v/>
      </c>
      <c r="H13" s="41" t="inlineStr">
        <is>
          <t>RQ-CONFIG-001, RQ-CONFIG-002, RQ-CONFIG-003, RQ-CONFIG-004</t>
        </is>
      </c>
    </row>
    <row r="14" ht="37" customHeight="1">
      <c r="A14" s="41" t="inlineStr">
        <is>
          <t>알림</t>
        </is>
      </c>
      <c r="B14" s="43">
        <f>COUNTIF('요구사항 추적표'!$C$5:$C$57,A14)</f>
        <v/>
      </c>
      <c r="C14" s="43">
        <f>COUNTIFS('요구사항 추적표'!$C$5:$C$57,A14,'요구사항 추적표'!$Y$5:$Y$57,"화면+서버")</f>
        <v/>
      </c>
      <c r="D14" s="43">
        <f>COUNTIFS('요구사항 추적표'!$C$5:$C$57,A14,'요구사항 추적표'!$Y$5:$Y$57,"화면")</f>
        <v/>
      </c>
      <c r="E14" s="43">
        <f>COUNTIFS('요구사항 추적표'!$C$5:$C$57,A14,'요구사항 추적표'!$Y$5:$Y$57,"서버")</f>
        <v/>
      </c>
      <c r="F14" s="43">
        <f>COUNTIFS('요구사항 추적표'!$C$5:$C$57,A14,'요구사항 추적표'!$X$5:$X$57,"*결정 필요*")</f>
        <v/>
      </c>
      <c r="G14" s="43">
        <f>COUNTIFS('요구사항 추적표'!$C$5:$C$57,A14,'요구사항 추적표'!$N$5:$N$57,"미정")</f>
        <v/>
      </c>
      <c r="H14" s="41" t="inlineStr">
        <is>
          <t>RQ-NOTIF-001, RQ-NOTIF-002, RQ-NOTIF-003, RQ-NOTIF-004, RQ-NOTIF-005</t>
        </is>
      </c>
    </row>
    <row r="15">
      <c r="A15" s="44" t="inlineStr">
        <is>
          <t>합계</t>
        </is>
      </c>
      <c r="B15" s="45">
        <f>SUM(B6:B14)</f>
        <v/>
      </c>
      <c r="C15" s="45">
        <f>SUM(C6:C14)</f>
        <v/>
      </c>
      <c r="D15" s="45">
        <f>SUM(D6:D14)</f>
        <v/>
      </c>
      <c r="E15" s="45">
        <f>SUM(E6:E14)</f>
        <v/>
      </c>
      <c r="F15" s="45">
        <f>SUM(F6:F14)</f>
        <v/>
      </c>
      <c r="G15" s="45">
        <f>SUM(G6:G14)</f>
        <v/>
      </c>
      <c r="H15" s="46" t="n"/>
    </row>
    <row r="17">
      <c r="A17" s="39" t="inlineStr">
        <is>
          <t>2. 화면 논리 개체 역추적(프런트엔드 데이터 모델 정의서 v0.3 → 요구사항)</t>
        </is>
      </c>
    </row>
    <row r="18">
      <c r="A18" s="40" t="inlineStr">
        <is>
          <t>개체ID</t>
        </is>
      </c>
      <c r="B18" s="40" t="inlineStr">
        <is>
          <t>개체명</t>
        </is>
      </c>
      <c r="C18" s="40" t="inlineStr">
        <is>
          <t>추적 요구사항 수</t>
        </is>
      </c>
      <c r="D18" s="40" t="inlineStr">
        <is>
          <t>판정</t>
        </is>
      </c>
      <c r="E18" s="40" t="inlineStr"/>
      <c r="F18" s="40" t="inlineStr"/>
      <c r="G18" s="40" t="inlineStr"/>
      <c r="H18" s="40" t="inlineStr">
        <is>
          <t>요구사항ID</t>
        </is>
      </c>
    </row>
    <row r="19" ht="37" customHeight="1">
      <c r="A19" s="41" t="inlineStr">
        <is>
          <t>FE-E01</t>
        </is>
      </c>
      <c r="B19" s="41" t="inlineStr">
        <is>
          <t>사용자 세션 문맥</t>
        </is>
      </c>
      <c r="C19" s="42">
        <f>SUMPRODUCT(--ISNUMBER(FIND(A19&amp;" ",'요구사항 추적표'!$U$5:$U$57)))</f>
        <v/>
      </c>
      <c r="D19" s="41" t="inlineStr">
        <is>
          <t>정상</t>
        </is>
      </c>
      <c r="E19" s="47" t="n"/>
      <c r="F19" s="47" t="n"/>
      <c r="G19" s="47" t="n"/>
      <c r="H19" s="41" t="inlineStr">
        <is>
          <t>RQ-AUTH-001, RQ-AUTH-002, RQ-AUTH-003, RQ-AUTH-004, RQ-DASH-001, RQ-NOTIF-001</t>
        </is>
      </c>
    </row>
    <row r="20" ht="37" customHeight="1">
      <c r="A20" s="41" t="inlineStr">
        <is>
          <t>FE-E02</t>
        </is>
      </c>
      <c r="B20" s="41" t="inlineStr">
        <is>
          <t>화면 탐색 상태</t>
        </is>
      </c>
      <c r="C20" s="42">
        <f>SUMPRODUCT(--ISNUMBER(FIND(A20&amp;" ",'요구사항 추적표'!$U$5:$U$57)))</f>
        <v/>
      </c>
      <c r="D20" s="41" t="inlineStr">
        <is>
          <t>정상</t>
        </is>
      </c>
      <c r="E20" s="47" t="n"/>
      <c r="F20" s="47" t="n"/>
      <c r="G20" s="47" t="n"/>
      <c r="H20" s="41" t="inlineStr">
        <is>
          <t>RQ-AUTH-002, RQ-AUTH-003, RQ-DASH-004, RQ-DASH-005, RQ-DASH-006</t>
        </is>
      </c>
    </row>
    <row r="21" ht="37" customHeight="1">
      <c r="A21" s="41" t="inlineStr">
        <is>
          <t>FE-E03</t>
        </is>
      </c>
      <c r="B21" s="41" t="inlineStr">
        <is>
          <t>대시보드 요약</t>
        </is>
      </c>
      <c r="C21" s="42">
        <f>SUMPRODUCT(--ISNUMBER(FIND(A21&amp;" ",'요구사항 추적표'!$U$5:$U$57)))</f>
        <v/>
      </c>
      <c r="D21" s="41" t="inlineStr">
        <is>
          <t>정상</t>
        </is>
      </c>
      <c r="E21" s="47" t="n"/>
      <c r="F21" s="47" t="n"/>
      <c r="G21" s="47" t="n"/>
      <c r="H21" s="41" t="inlineStr">
        <is>
          <t>RQ-DASH-001, RQ-DASH-002, RQ-DASH-003, RQ-DASH-005, RQ-DASH-006, RQ-LL-005, RQ-NOTIF-004</t>
        </is>
      </c>
    </row>
    <row r="22" ht="80.5" customHeight="1">
      <c r="A22" s="41" t="inlineStr">
        <is>
          <t>FE-E04</t>
        </is>
      </c>
      <c r="B22" s="41" t="inlineStr">
        <is>
          <t>기자재 목록 행</t>
        </is>
      </c>
      <c r="C22" s="42">
        <f>SUMPRODUCT(--ISNUMBER(FIND(A22&amp;" ",'요구사항 추적표'!$U$5:$U$57)))</f>
        <v/>
      </c>
      <c r="D22" s="41" t="inlineStr">
        <is>
          <t>정상</t>
        </is>
      </c>
      <c r="E22" s="47" t="n"/>
      <c r="F22" s="47" t="n"/>
      <c r="G22" s="47" t="n"/>
      <c r="H22" s="41" t="inlineStr">
        <is>
          <t>RQ-AUTH-004, RQ-DASH-001, RQ-DASH-004, RQ-DASH-006, RQ-EQUIP-001, RQ-EQUIP-002, RQ-SCORE-001, RQ-LL-001, RQ-SPEC-001, RQ-GATE-001, RQ-GATE-002, RQ-GATE-003, RQ-GATE-004, RQ-GATE-006, RQ-GATE-007, RQ-GATE-010, RQ-GATE-011, RQ-GATE-013, RQ-CONFIG-002, RQ-CONFIG-003, RQ-NOTIF-002</t>
        </is>
      </c>
    </row>
    <row r="23" ht="22.5" customHeight="1">
      <c r="A23" s="41" t="inlineStr">
        <is>
          <t>FE-E05</t>
        </is>
      </c>
      <c r="B23" s="41" t="inlineStr">
        <is>
          <t>위험 알림 행</t>
        </is>
      </c>
      <c r="C23" s="42">
        <f>SUMPRODUCT(--ISNUMBER(FIND(A23&amp;" ",'요구사항 추적표'!$U$5:$U$57)))</f>
        <v/>
      </c>
      <c r="D23" s="41" t="inlineStr">
        <is>
          <t>정상</t>
        </is>
      </c>
      <c r="E23" s="47" t="n"/>
      <c r="F23" s="47" t="n"/>
      <c r="G23" s="47" t="n"/>
      <c r="H23" s="41" t="inlineStr">
        <is>
          <t>RQ-DASH-003, RQ-LL-005, RQ-GATE-005, RQ-GATE-007, RQ-NOTIF-004</t>
        </is>
      </c>
    </row>
    <row r="24" ht="37" customHeight="1">
      <c r="A24" s="41" t="inlineStr">
        <is>
          <t>FE-E06</t>
        </is>
      </c>
      <c r="B24" s="41" t="inlineStr">
        <is>
          <t>점검 항목 행</t>
        </is>
      </c>
      <c r="C24" s="42">
        <f>SUMPRODUCT(--ISNUMBER(FIND(A24&amp;" ",'요구사항 추적표'!$U$5:$U$57)))</f>
        <v/>
      </c>
      <c r="D24" s="41" t="inlineStr">
        <is>
          <t>정상</t>
        </is>
      </c>
      <c r="E24" s="47" t="n"/>
      <c r="F24" s="47" t="n"/>
      <c r="G24" s="47" t="n"/>
      <c r="H24" s="41" t="inlineStr">
        <is>
          <t>RQ-EQUIP-003, RQ-LL-001, RQ-LL-002, RQ-LL-003, RQ-LL-004, RQ-LL-005, RQ-LL-007, RQ-GATE-008</t>
        </is>
      </c>
    </row>
    <row r="25" ht="22.5" customHeight="1">
      <c r="A25" s="41" t="inlineStr">
        <is>
          <t>FE-E07</t>
        </is>
      </c>
      <c r="B25" s="41" t="inlineStr">
        <is>
          <t>점검 처리 입력</t>
        </is>
      </c>
      <c r="C25" s="42">
        <f>SUMPRODUCT(--ISNUMBER(FIND(A25&amp;" ",'요구사항 추적표'!$U$5:$U$57)))</f>
        <v/>
      </c>
      <c r="D25" s="41" t="inlineStr">
        <is>
          <t>정상</t>
        </is>
      </c>
      <c r="E25" s="47" t="n"/>
      <c r="F25" s="47" t="n"/>
      <c r="G25" s="47" t="n"/>
      <c r="H25" s="41" t="inlineStr">
        <is>
          <t>RQ-LL-002</t>
        </is>
      </c>
    </row>
    <row r="26" ht="22.5" customHeight="1">
      <c r="A26" s="41" t="inlineStr">
        <is>
          <t>FE-E08</t>
        </is>
      </c>
      <c r="B26" s="41" t="inlineStr">
        <is>
          <t>점검 승인요청 입력</t>
        </is>
      </c>
      <c r="C26" s="42">
        <f>SUMPRODUCT(--ISNUMBER(FIND(A26&amp;" ",'요구사항 추적표'!$U$5:$U$57)))</f>
        <v/>
      </c>
      <c r="D26" s="41" t="inlineStr">
        <is>
          <t>정상</t>
        </is>
      </c>
      <c r="E26" s="47" t="n"/>
      <c r="F26" s="47" t="n"/>
      <c r="G26" s="47" t="n"/>
      <c r="H26" s="41" t="inlineStr">
        <is>
          <t>RQ-LL-003</t>
        </is>
      </c>
    </row>
    <row r="27" ht="37" customHeight="1">
      <c r="A27" s="41" t="inlineStr">
        <is>
          <t>FE-E09</t>
        </is>
      </c>
      <c r="B27" s="41" t="inlineStr">
        <is>
          <t>위험도 산정 근거</t>
        </is>
      </c>
      <c r="C27" s="42">
        <f>SUMPRODUCT(--ISNUMBER(FIND(A27&amp;" ",'요구사항 추적표'!$U$5:$U$57)))</f>
        <v/>
      </c>
      <c r="D27" s="41" t="inlineStr">
        <is>
          <t>정상</t>
        </is>
      </c>
      <c r="E27" s="47" t="n"/>
      <c r="F27" s="47" t="n"/>
      <c r="G27" s="47" t="n"/>
      <c r="H27" s="41" t="inlineStr">
        <is>
          <t>RQ-EQUIP-002, RQ-EQUIP-003, RQ-SCORE-001, RQ-SCORE-002, RQ-SCORE-003, RQ-GATE-001, RQ-GATE-002</t>
        </is>
      </c>
    </row>
    <row r="28" ht="22.5" customHeight="1">
      <c r="A28" s="41" t="inlineStr">
        <is>
          <t>FE-E10</t>
        </is>
      </c>
      <c r="B28" s="41" t="inlineStr">
        <is>
          <t>참조 이력 행</t>
        </is>
      </c>
      <c r="C28" s="42">
        <f>SUMPRODUCT(--ISNUMBER(FIND(A28&amp;" ",'요구사항 추적표'!$U$5:$U$57)))</f>
        <v/>
      </c>
      <c r="D28" s="41" t="inlineStr">
        <is>
          <t>정상</t>
        </is>
      </c>
      <c r="E28" s="47" t="n"/>
      <c r="F28" s="47" t="n"/>
      <c r="G28" s="47" t="n"/>
      <c r="H28" s="41" t="inlineStr">
        <is>
          <t>RQ-SCORE-002</t>
        </is>
      </c>
    </row>
    <row r="29" ht="22.5" customHeight="1">
      <c r="A29" s="41" t="inlineStr">
        <is>
          <t>FE-E11</t>
        </is>
      </c>
      <c r="B29" s="41" t="inlineStr">
        <is>
          <t>평가기준 설정 표시</t>
        </is>
      </c>
      <c r="C29" s="42">
        <f>SUMPRODUCT(--ISNUMBER(FIND(A29&amp;" ",'요구사항 추적표'!$U$5:$U$57)))</f>
        <v/>
      </c>
      <c r="D29" s="41" t="inlineStr">
        <is>
          <t>정상</t>
        </is>
      </c>
      <c r="E29" s="47" t="n"/>
      <c r="F29" s="47" t="n"/>
      <c r="G29" s="47" t="n"/>
      <c r="H29" s="41" t="inlineStr">
        <is>
          <t>RQ-SCORE-004, RQ-CONFIG-001, RQ-CONFIG-002, RQ-CONFIG-003</t>
        </is>
      </c>
    </row>
    <row r="30" ht="22.5" customHeight="1">
      <c r="A30" s="41" t="inlineStr">
        <is>
          <t>FE-E12</t>
        </is>
      </c>
      <c r="B30" s="41" t="inlineStr">
        <is>
          <t>평가기준 적용 입력</t>
        </is>
      </c>
      <c r="C30" s="42">
        <f>SUMPRODUCT(--ISNUMBER(FIND(A30&amp;" ",'요구사항 추적표'!$U$5:$U$57)))</f>
        <v/>
      </c>
      <c r="D30" s="41" t="inlineStr">
        <is>
          <t>정상</t>
        </is>
      </c>
      <c r="E30" s="47" t="n"/>
      <c r="F30" s="47" t="n"/>
      <c r="G30" s="47" t="n"/>
      <c r="H30" s="41" t="inlineStr">
        <is>
          <t>RQ-CONFIG-001, RQ-CONFIG-002, RQ-CONFIG-003</t>
        </is>
      </c>
    </row>
    <row r="31" ht="22.5" customHeight="1">
      <c r="A31" s="41" t="inlineStr">
        <is>
          <t>FE-E13</t>
        </is>
      </c>
      <c r="B31" s="41" t="inlineStr">
        <is>
          <t>점수 시뮬레이터</t>
        </is>
      </c>
      <c r="C31" s="42">
        <f>SUMPRODUCT(--ISNUMBER(FIND(A31&amp;" ",'요구사항 추적표'!$U$5:$U$57)))</f>
        <v/>
      </c>
      <c r="D31" s="41" t="inlineStr">
        <is>
          <t>정상</t>
        </is>
      </c>
      <c r="E31" s="47" t="n"/>
      <c r="F31" s="47" t="n"/>
      <c r="G31" s="47" t="n"/>
      <c r="H31" s="41" t="inlineStr">
        <is>
          <t>RQ-SCORE-001, RQ-SCORE-004, RQ-CONFIG-003</t>
        </is>
      </c>
    </row>
    <row r="32" ht="37" customHeight="1">
      <c r="A32" s="41" t="inlineStr">
        <is>
          <t>FE-E14</t>
        </is>
      </c>
      <c r="B32" s="41" t="inlineStr">
        <is>
          <t>사양 비교 행</t>
        </is>
      </c>
      <c r="C32" s="42">
        <f>SUMPRODUCT(--ISNUMBER(FIND(A32&amp;" ",'요구사항 추적표'!$U$5:$U$57)))</f>
        <v/>
      </c>
      <c r="D32" s="41" t="inlineStr">
        <is>
          <t>정상</t>
        </is>
      </c>
      <c r="E32" s="47" t="n"/>
      <c r="F32" s="47" t="n"/>
      <c r="G32" s="47" t="n"/>
      <c r="H32" s="41" t="inlineStr">
        <is>
          <t>RQ-EQUIP-003, RQ-SPEC-001, RQ-SPEC-002, RQ-SPEC-003, RQ-SPEC-004, RQ-SPEC-005, RQ-GATE-008, RQ-GATE-013</t>
        </is>
      </c>
    </row>
    <row r="33" ht="22.5" customHeight="1">
      <c r="A33" s="41" t="inlineStr">
        <is>
          <t>FE-E15</t>
        </is>
      </c>
      <c r="B33" s="41" t="inlineStr">
        <is>
          <t>사양 해명 제출 입력</t>
        </is>
      </c>
      <c r="C33" s="42">
        <f>SUMPRODUCT(--ISNUMBER(FIND(A33&amp;" ",'요구사항 추적표'!$U$5:$U$57)))</f>
        <v/>
      </c>
      <c r="D33" s="41" t="inlineStr">
        <is>
          <t>정상</t>
        </is>
      </c>
      <c r="E33" s="47" t="n"/>
      <c r="F33" s="47" t="n"/>
      <c r="G33" s="47" t="n"/>
      <c r="H33" s="41" t="inlineStr">
        <is>
          <t>RQ-SPEC-002, RQ-SPEC-005</t>
        </is>
      </c>
    </row>
    <row r="34" ht="22.5" customHeight="1">
      <c r="A34" s="41" t="inlineStr">
        <is>
          <t>FE-E16</t>
        </is>
      </c>
      <c r="B34" s="41" t="inlineStr">
        <is>
          <t>사양 해명 판정 입력</t>
        </is>
      </c>
      <c r="C34" s="42">
        <f>SUMPRODUCT(--ISNUMBER(FIND(A34&amp;" ",'요구사항 추적표'!$U$5:$U$57)))</f>
        <v/>
      </c>
      <c r="D34" s="41" t="inlineStr">
        <is>
          <t>정상</t>
        </is>
      </c>
      <c r="E34" s="47" t="n"/>
      <c r="F34" s="47" t="n"/>
      <c r="G34" s="47" t="n"/>
      <c r="H34" s="41" t="inlineStr">
        <is>
          <t>RQ-SPEC-004</t>
        </is>
      </c>
    </row>
    <row r="35" ht="22.5" customHeight="1">
      <c r="A35" s="41" t="inlineStr">
        <is>
          <t>FE-E17</t>
        </is>
      </c>
      <c r="B35" s="41" t="inlineStr">
        <is>
          <t>협의 의견 행</t>
        </is>
      </c>
      <c r="C35" s="42">
        <f>SUMPRODUCT(--ISNUMBER(FIND(A35&amp;" ",'요구사항 추적표'!$U$5:$U$57)))</f>
        <v/>
      </c>
      <c r="D35" s="41" t="inlineStr">
        <is>
          <t>정상</t>
        </is>
      </c>
      <c r="E35" s="47" t="n"/>
      <c r="F35" s="47" t="n"/>
      <c r="G35" s="47" t="n"/>
      <c r="H35" s="41" t="inlineStr">
        <is>
          <t>RQ-SPEC-003</t>
        </is>
      </c>
    </row>
    <row r="36" ht="22.5" customHeight="1">
      <c r="A36" s="41" t="inlineStr">
        <is>
          <t>FE-E18</t>
        </is>
      </c>
      <c r="B36" s="41" t="inlineStr">
        <is>
          <t>협의 의견 등록 입력</t>
        </is>
      </c>
      <c r="C36" s="42">
        <f>SUMPRODUCT(--ISNUMBER(FIND(A36&amp;" ",'요구사항 추적표'!$U$5:$U$57)))</f>
        <v/>
      </c>
      <c r="D36" s="41" t="inlineStr">
        <is>
          <t>정상</t>
        </is>
      </c>
      <c r="E36" s="47" t="n"/>
      <c r="F36" s="47" t="n"/>
      <c r="G36" s="47" t="n"/>
      <c r="H36" s="41" t="inlineStr">
        <is>
          <t>RQ-SPEC-003</t>
        </is>
      </c>
    </row>
    <row r="37" ht="37" customHeight="1">
      <c r="A37" s="41" t="inlineStr">
        <is>
          <t>FE-E19</t>
        </is>
      </c>
      <c r="B37" s="41" t="inlineStr">
        <is>
          <t>발주 승인 입력</t>
        </is>
      </c>
      <c r="C37" s="42">
        <f>SUMPRODUCT(--ISNUMBER(FIND(A37&amp;" ",'요구사항 추적표'!$U$5:$U$57)))</f>
        <v/>
      </c>
      <c r="D37" s="41" t="inlineStr">
        <is>
          <t>정상</t>
        </is>
      </c>
      <c r="E37" s="47" t="n"/>
      <c r="F37" s="47" t="n"/>
      <c r="G37" s="47" t="n"/>
      <c r="H37" s="41" t="inlineStr">
        <is>
          <t>RQ-GATE-003, RQ-GATE-004, RQ-GATE-005, RQ-GATE-009, RQ-GATE-012, RQ-GATE-013</t>
        </is>
      </c>
    </row>
    <row r="38" ht="22.5" customHeight="1">
      <c r="A38" s="41" t="inlineStr">
        <is>
          <t>FE-E20</t>
        </is>
      </c>
      <c r="B38" s="41" t="inlineStr">
        <is>
          <t>알림 트레이 항목</t>
        </is>
      </c>
      <c r="C38" s="42">
        <f>SUMPRODUCT(--ISNUMBER(FIND(A38&amp;" ",'요구사항 추적표'!$U$5:$U$57)))</f>
        <v/>
      </c>
      <c r="D38" s="41" t="inlineStr">
        <is>
          <t>정상</t>
        </is>
      </c>
      <c r="E38" s="47" t="n"/>
      <c r="F38" s="47" t="n"/>
      <c r="G38" s="47" t="n"/>
      <c r="H38" s="41" t="inlineStr">
        <is>
          <t>RQ-NOTIF-001, RQ-NOTIF-002, RQ-NOTIF-004</t>
        </is>
      </c>
    </row>
    <row r="39" ht="22.5" customHeight="1">
      <c r="A39" s="41" t="inlineStr">
        <is>
          <t>FE-E21</t>
        </is>
      </c>
      <c r="B39" s="41" t="inlineStr">
        <is>
          <t>점검 승인판정 입력</t>
        </is>
      </c>
      <c r="C39" s="42">
        <f>SUMPRODUCT(--ISNUMBER(FIND(A39&amp;" ",'요구사항 추적표'!$U$5:$U$57)))</f>
        <v/>
      </c>
      <c r="D39" s="41" t="inlineStr">
        <is>
          <t>정상</t>
        </is>
      </c>
      <c r="E39" s="47" t="n"/>
      <c r="F39" s="47" t="n"/>
      <c r="G39" s="47" t="n"/>
      <c r="H39" s="41" t="inlineStr">
        <is>
          <t>RQ-LL-004</t>
        </is>
      </c>
    </row>
    <row r="40" ht="22.5" customHeight="1">
      <c r="A40" s="41" t="inlineStr">
        <is>
          <t>FE-E22</t>
        </is>
      </c>
      <c r="B40" s="41" t="inlineStr">
        <is>
          <t>첨부 업로드 결과</t>
        </is>
      </c>
      <c r="C40" s="42">
        <f>SUMPRODUCT(--ISNUMBER(FIND(A40&amp;" ",'요구사항 추적표'!$U$5:$U$57)))</f>
        <v/>
      </c>
      <c r="D40" s="41" t="inlineStr">
        <is>
          <t>정상</t>
        </is>
      </c>
      <c r="E40" s="47" t="n"/>
      <c r="F40" s="47" t="n"/>
      <c r="G40" s="47" t="n"/>
      <c r="H40" s="41" t="inlineStr">
        <is>
          <t>RQ-LL-002, RQ-SPEC-002, RQ-SPEC-003, RQ-GATE-009</t>
        </is>
      </c>
    </row>
    <row r="41" ht="22.5" customHeight="1">
      <c r="A41" s="41" t="inlineStr">
        <is>
          <t>FE-E23</t>
        </is>
      </c>
      <c r="B41" s="41" t="inlineStr">
        <is>
          <t>Gate 정의 표시</t>
        </is>
      </c>
      <c r="C41" s="42">
        <f>SUMPRODUCT(--ISNUMBER(FIND(A41&amp;" ",'요구사항 추적표'!$U$5:$U$57)))</f>
        <v/>
      </c>
      <c r="D41" s="41" t="inlineStr">
        <is>
          <t>정상</t>
        </is>
      </c>
      <c r="E41" s="47" t="n"/>
      <c r="F41" s="47" t="n"/>
      <c r="G41" s="47" t="n"/>
      <c r="H41" s="41" t="inlineStr">
        <is>
          <t>RQ-GATE-001, RQ-GATE-006, RQ-GATE-007</t>
        </is>
      </c>
    </row>
    <row r="42" ht="37" customHeight="1">
      <c r="A42" s="41" t="inlineStr">
        <is>
          <t>FE-E24</t>
        </is>
      </c>
      <c r="B42" s="41" t="inlineStr">
        <is>
          <t>Gate 필수조건 행</t>
        </is>
      </c>
      <c r="C42" s="42">
        <f>SUMPRODUCT(--ISNUMBER(FIND(A42&amp;" ",'요구사항 추적표'!$U$5:$U$57)))</f>
        <v/>
      </c>
      <c r="D42" s="41" t="inlineStr">
        <is>
          <t>정상</t>
        </is>
      </c>
      <c r="E42" s="47" t="n"/>
      <c r="F42" s="47" t="n"/>
      <c r="G42" s="47" t="n"/>
      <c r="H42" s="41" t="inlineStr">
        <is>
          <t>RQ-LL-001, RQ-LL-007, RQ-GATE-003, RQ-GATE-004, RQ-GATE-008, RQ-GATE-013</t>
        </is>
      </c>
    </row>
    <row r="43" ht="22.5" customHeight="1">
      <c r="A43" s="41" t="inlineStr">
        <is>
          <t>FE-E25</t>
        </is>
      </c>
      <c r="B43" s="41" t="inlineStr">
        <is>
          <t>조건부 통과 잔여조건 행</t>
        </is>
      </c>
      <c r="C43" s="42">
        <f>SUMPRODUCT(--ISNUMBER(FIND(A43&amp;" ",'요구사항 추적표'!$U$5:$U$57)))</f>
        <v/>
      </c>
      <c r="D43" s="41" t="inlineStr">
        <is>
          <t>정상</t>
        </is>
      </c>
      <c r="E43" s="47" t="n"/>
      <c r="F43" s="47" t="n"/>
      <c r="G43" s="47" t="n"/>
      <c r="H43" s="41" t="inlineStr">
        <is>
          <t>RQ-GATE-004, RQ-GATE-009</t>
        </is>
      </c>
    </row>
    <row r="44" ht="22.5" customHeight="1">
      <c r="A44" s="41" t="inlineStr">
        <is>
          <t>FE-E26</t>
        </is>
      </c>
      <c r="B44" s="41" t="inlineStr">
        <is>
          <t>발주서 통제 묶음</t>
        </is>
      </c>
      <c r="C44" s="42">
        <f>SUMPRODUCT(--ISNUMBER(FIND(A44&amp;" ",'요구사항 추적표'!$U$5:$U$57)))</f>
        <v/>
      </c>
      <c r="D44" s="41" t="inlineStr">
        <is>
          <t>정상</t>
        </is>
      </c>
      <c r="E44" s="47" t="n"/>
      <c r="F44" s="47" t="n"/>
      <c r="G44" s="47" t="n"/>
      <c r="H44" s="41" t="inlineStr">
        <is>
          <t>RQ-GATE-011</t>
        </is>
      </c>
    </row>
    <row r="45" ht="22.5" customHeight="1">
      <c r="A45" s="41" t="inlineStr">
        <is>
          <t>FE-E27</t>
        </is>
      </c>
      <c r="B45" s="41" t="inlineStr">
        <is>
          <t>재검토 필요 행</t>
        </is>
      </c>
      <c r="C45" s="42">
        <f>SUMPRODUCT(--ISNUMBER(FIND(A45&amp;" ",'요구사항 추적표'!$U$5:$U$57)))</f>
        <v/>
      </c>
      <c r="D45" s="41" t="inlineStr">
        <is>
          <t>정상</t>
        </is>
      </c>
      <c r="E45" s="47" t="n"/>
      <c r="F45" s="47" t="n"/>
      <c r="G45" s="47" t="n"/>
      <c r="H45" s="41" t="inlineStr">
        <is>
          <t>RQ-GATE-010</t>
        </is>
      </c>
    </row>
    <row r="46" ht="22.5" customHeight="1">
      <c r="A46" s="41" t="inlineStr">
        <is>
          <t>FE-E28</t>
        </is>
      </c>
      <c r="B46" s="41" t="inlineStr">
        <is>
          <t>외부 전달 상태</t>
        </is>
      </c>
      <c r="C46" s="42">
        <f>SUMPRODUCT(--ISNUMBER(FIND(A46&amp;" ",'요구사항 추적표'!$U$5:$U$57)))</f>
        <v/>
      </c>
      <c r="D46" s="41" t="inlineStr">
        <is>
          <t>정상</t>
        </is>
      </c>
      <c r="E46" s="47" t="n"/>
      <c r="F46" s="47" t="n"/>
      <c r="G46" s="47" t="n"/>
      <c r="H46" s="41" t="inlineStr">
        <is>
          <t>RQ-GATE-003, RQ-GATE-012</t>
        </is>
      </c>
    </row>
    <row r="47" ht="22.5" customHeight="1">
      <c r="A47" s="41" t="inlineStr">
        <is>
          <t>FE-E29</t>
        </is>
      </c>
      <c r="B47" s="41" t="inlineStr">
        <is>
          <t>잔여조건 이행 처리 입력</t>
        </is>
      </c>
      <c r="C47" s="42">
        <f>SUMPRODUCT(--ISNUMBER(FIND(A47&amp;" ",'요구사항 추적표'!$U$5:$U$57)))</f>
        <v/>
      </c>
      <c r="D47" s="41" t="inlineStr">
        <is>
          <t>정상</t>
        </is>
      </c>
      <c r="E47" s="47" t="n"/>
      <c r="F47" s="47" t="n"/>
      <c r="G47" s="47" t="n"/>
      <c r="H47" s="41" t="inlineStr">
        <is>
          <t>RQ-GATE-009</t>
        </is>
      </c>
    </row>
    <row r="50">
      <c r="A50" s="39" t="inlineStr">
        <is>
          <t>3. 서버 논리 개체 역추적(백엔드 데이터 모델 정의서 v0.1 → 요구사항)</t>
        </is>
      </c>
    </row>
    <row r="51">
      <c r="A51" s="40" t="inlineStr">
        <is>
          <t>개체ID</t>
        </is>
      </c>
      <c r="B51" s="40" t="inlineStr">
        <is>
          <t>개체명</t>
        </is>
      </c>
      <c r="C51" s="40" t="inlineStr">
        <is>
          <t>추적 요구사항 수</t>
        </is>
      </c>
      <c r="D51" s="40" t="inlineStr">
        <is>
          <t>판정</t>
        </is>
      </c>
      <c r="E51" s="40" t="inlineStr"/>
      <c r="F51" s="40" t="inlineStr"/>
      <c r="G51" s="40" t="inlineStr"/>
      <c r="H51" s="40" t="inlineStr">
        <is>
          <t>요구사항ID</t>
        </is>
      </c>
    </row>
    <row r="52" ht="37" customHeight="1">
      <c r="A52" s="41" t="inlineStr">
        <is>
          <t>BE:E01</t>
        </is>
      </c>
      <c r="B52" s="41" t="inlineStr">
        <is>
          <t>사용자</t>
        </is>
      </c>
      <c r="C52" s="42">
        <f>SUMPRODUCT(--ISNUMBER(FIND(A52&amp;" ",'요구사항 추적표'!$V$5:$V$57)))</f>
        <v/>
      </c>
      <c r="D52" s="41" t="inlineStr">
        <is>
          <t>정상</t>
        </is>
      </c>
      <c r="E52" s="47" t="n"/>
      <c r="F52" s="47" t="n"/>
      <c r="G52" s="47" t="n"/>
      <c r="H52" s="41" t="inlineStr">
        <is>
          <t>RQ-AUTH-001, RQ-AUTH-002, RQ-AUTH-003, RQ-AUTH-004, RQ-DASH-001, RQ-CONFIG-001, RQ-NOTIF-001, RQ-NOTIF-004</t>
        </is>
      </c>
    </row>
    <row r="53" ht="51.5" customHeight="1">
      <c r="A53" s="41" t="inlineStr">
        <is>
          <t>BE:E02</t>
        </is>
      </c>
      <c r="B53" s="41" t="inlineStr">
        <is>
          <t>기자재 담당배정</t>
        </is>
      </c>
      <c r="C53" s="42">
        <f>SUMPRODUCT(--ISNUMBER(FIND(A53&amp;" ",'요구사항 추적표'!$V$5:$V$57)))</f>
        <v/>
      </c>
      <c r="D53" s="41" t="inlineStr">
        <is>
          <t>정상</t>
        </is>
      </c>
      <c r="E53" s="47" t="n"/>
      <c r="F53" s="47" t="n"/>
      <c r="G53" s="47" t="n"/>
      <c r="H53" s="41" t="inlineStr">
        <is>
          <t>RQ-AUTH-001, RQ-AUTH-002, RQ-AUTH-003, RQ-AUTH-004, RQ-DASH-001, RQ-DASH-002, RQ-DASH-003, RQ-DASH-005, RQ-DASH-006, RQ-EQUIP-001, RQ-LL-005, RQ-NOTIF-001, RQ-NOTIF-004, RQ-NOTIF-005</t>
        </is>
      </c>
    </row>
    <row r="54" ht="80.5" customHeight="1">
      <c r="A54" s="41" t="inlineStr">
        <is>
          <t>BE:E03</t>
        </is>
      </c>
      <c r="B54" s="41" t="inlineStr">
        <is>
          <t>체계분류</t>
        </is>
      </c>
      <c r="C54" s="42">
        <f>SUMPRODUCT(--ISNUMBER(FIND(A54&amp;" ",'요구사항 추적표'!$V$5:$V$57)))</f>
        <v/>
      </c>
      <c r="D54" s="41" t="inlineStr">
        <is>
          <t>정상</t>
        </is>
      </c>
      <c r="E54" s="47" t="n"/>
      <c r="F54" s="47" t="n"/>
      <c r="G54" s="47" t="n"/>
      <c r="H54" s="41" t="inlineStr">
        <is>
          <t>RQ-AUTH-004, RQ-DASH-001, RQ-DASH-004, RQ-DASH-006, RQ-EQUIP-001, RQ-EQUIP-002, RQ-SCORE-001, RQ-LL-001, RQ-SPEC-001, RQ-GATE-001, RQ-GATE-002, RQ-GATE-003, RQ-GATE-004, RQ-GATE-006, RQ-GATE-007, RQ-GATE-010, RQ-GATE-011, RQ-GATE-013, RQ-CONFIG-002, RQ-CONFIG-003, RQ-NOTIF-002</t>
        </is>
      </c>
    </row>
    <row r="55" ht="95" customHeight="1">
      <c r="A55" s="41" t="inlineStr">
        <is>
          <t>BE:E04</t>
        </is>
      </c>
      <c r="B55" s="41" t="inlineStr">
        <is>
          <t>기자재</t>
        </is>
      </c>
      <c r="C55" s="42">
        <f>SUMPRODUCT(--ISNUMBER(FIND(A55&amp;" ",'요구사항 추적표'!$V$5:$V$57)))</f>
        <v/>
      </c>
      <c r="D55" s="41" t="inlineStr">
        <is>
          <t>정상</t>
        </is>
      </c>
      <c r="E55" s="47" t="n"/>
      <c r="F55" s="47" t="n"/>
      <c r="G55" s="47" t="n"/>
      <c r="H55" s="41" t="inlineStr">
        <is>
          <t>RQ-AUTH-004, RQ-DASH-001, RQ-DASH-002, RQ-DASH-003, RQ-DASH-004, RQ-DASH-006, RQ-EQUIP-001, RQ-EQUIP-002, RQ-SCORE-001, RQ-LL-001, RQ-LL-005, RQ-SPEC-001, RQ-GATE-001, RQ-GATE-002, RQ-GATE-003, RQ-GATE-004, RQ-GATE-005, RQ-GATE-006, RQ-GATE-007, RQ-GATE-010, RQ-GATE-011, RQ-GATE-013, RQ-CONFIG-002, RQ-CONFIG-003, RQ-NOTIF-002, RQ-NOTIF-004, RQ-NOTIF-005</t>
        </is>
      </c>
    </row>
    <row r="56" ht="109.5" customHeight="1">
      <c r="A56" s="41" t="inlineStr">
        <is>
          <t>BE:E05</t>
        </is>
      </c>
      <c r="B56" s="41" t="inlineStr">
        <is>
          <t>평가기준 버전</t>
        </is>
      </c>
      <c r="C56" s="42">
        <f>SUMPRODUCT(--ISNUMBER(FIND(A56&amp;" ",'요구사항 추적표'!$V$5:$V$57)))</f>
        <v/>
      </c>
      <c r="D56" s="41" t="inlineStr">
        <is>
          <t>정상</t>
        </is>
      </c>
      <c r="E56" s="47" t="n"/>
      <c r="F56" s="47" t="n"/>
      <c r="G56" s="47" t="n"/>
      <c r="H56" s="41" t="inlineStr">
        <is>
          <t>RQ-AUTH-003, RQ-AUTH-004, RQ-DASH-001, RQ-DASH-004, RQ-DASH-006, RQ-EQUIP-001, RQ-EQUIP-002, RQ-EQUIP-003, RQ-SCORE-001, RQ-SCORE-002, RQ-SCORE-003, RQ-SCORE-004, RQ-LL-001, RQ-SPEC-001, RQ-GATE-001, RQ-GATE-002, RQ-GATE-003, RQ-GATE-004, RQ-GATE-006, RQ-GATE-007, RQ-GATE-010, RQ-GATE-011, RQ-GATE-013, RQ-CONFIG-001, RQ-CONFIG-002, RQ-CONFIG-003, RQ-CONFIG-004, RQ-NOTIF-002</t>
        </is>
      </c>
    </row>
    <row r="57" ht="109.5" customHeight="1">
      <c r="A57" s="41" t="inlineStr">
        <is>
          <t>BE:E06</t>
        </is>
      </c>
      <c r="B57" s="41" t="inlineStr">
        <is>
          <t>위험평가 회차</t>
        </is>
      </c>
      <c r="C57" s="42">
        <f>SUMPRODUCT(--ISNUMBER(FIND(A57&amp;" ",'요구사항 추적표'!$V$5:$V$57)))</f>
        <v/>
      </c>
      <c r="D57" s="41" t="inlineStr">
        <is>
          <t>정상</t>
        </is>
      </c>
      <c r="E57" s="47" t="n"/>
      <c r="F57" s="47" t="n"/>
      <c r="G57" s="47" t="n"/>
      <c r="H57" s="41" t="inlineStr">
        <is>
          <t>RQ-AUTH-004, RQ-DASH-001, RQ-DASH-002, RQ-DASH-003, RQ-DASH-004, RQ-DASH-005, RQ-DASH-006, RQ-EQUIP-001, RQ-EQUIP-002, RQ-EQUIP-003, RQ-SCORE-001, RQ-SCORE-002, RQ-SCORE-003, RQ-SCORE-004, RQ-LL-001, RQ-LL-005, RQ-SPEC-001, RQ-GATE-001, RQ-GATE-002, RQ-GATE-003, RQ-GATE-004, RQ-GATE-005, RQ-GATE-006, RQ-GATE-007, RQ-GATE-010, RQ-GATE-011, RQ-GATE-013, RQ-CONFIG-001, RQ-CONFIG-002, RQ-CONFIG-003, RQ-NOTIF-002, RQ-NOTIF-004</t>
        </is>
      </c>
    </row>
    <row r="58" ht="37" customHeight="1">
      <c r="A58" s="41" t="inlineStr">
        <is>
          <t>BE:E07</t>
        </is>
      </c>
      <c r="B58" s="41" t="inlineStr">
        <is>
          <t>평가요소</t>
        </is>
      </c>
      <c r="C58" s="42">
        <f>SUMPRODUCT(--ISNUMBER(FIND(A58&amp;" ",'요구사항 추적표'!$V$5:$V$57)))</f>
        <v/>
      </c>
      <c r="D58" s="41" t="inlineStr">
        <is>
          <t>정상</t>
        </is>
      </c>
      <c r="E58" s="47" t="n"/>
      <c r="F58" s="47" t="n"/>
      <c r="G58" s="47" t="n"/>
      <c r="H58" s="41" t="inlineStr">
        <is>
          <t>RQ-EQUIP-002, RQ-EQUIP-003, RQ-SCORE-001, RQ-SCORE-002, RQ-SCORE-003, RQ-SCORE-004, RQ-GATE-001, RQ-GATE-002</t>
        </is>
      </c>
    </row>
    <row r="59" ht="37" customHeight="1">
      <c r="A59" s="41" t="inlineStr">
        <is>
          <t>BE:E08</t>
        </is>
      </c>
      <c r="B59" s="41" t="inlineStr">
        <is>
          <t>교훈기준 개정</t>
        </is>
      </c>
      <c r="C59" s="42">
        <f>SUMPRODUCT(--ISNUMBER(FIND(A59&amp;" ",'요구사항 추적표'!$V$5:$V$57)))</f>
        <v/>
      </c>
      <c r="D59" s="41" t="inlineStr">
        <is>
          <t>정상</t>
        </is>
      </c>
      <c r="E59" s="47" t="n"/>
      <c r="F59" s="47" t="n"/>
      <c r="G59" s="47" t="n"/>
      <c r="H59" s="41" t="inlineStr">
        <is>
          <t>RQ-EQUIP-003, RQ-LL-001, RQ-LL-002, RQ-LL-003, RQ-LL-004, RQ-LL-005, RQ-LL-007, RQ-GATE-008, RQ-CONFIG-004</t>
        </is>
      </c>
    </row>
    <row r="60" ht="51.5" customHeight="1">
      <c r="A60" s="41" t="inlineStr">
        <is>
          <t>BE:E09</t>
        </is>
      </c>
      <c r="B60" s="41" t="inlineStr">
        <is>
          <t>기자재 점검항목</t>
        </is>
      </c>
      <c r="C60" s="42">
        <f>SUMPRODUCT(--ISNUMBER(FIND(A60&amp;" ",'요구사항 추적표'!$V$5:$V$57)))</f>
        <v/>
      </c>
      <c r="D60" s="41" t="inlineStr">
        <is>
          <t>정상</t>
        </is>
      </c>
      <c r="E60" s="47" t="n"/>
      <c r="F60" s="47" t="n"/>
      <c r="G60" s="47" t="n"/>
      <c r="H60" s="41" t="inlineStr">
        <is>
          <t>RQ-DASH-002, RQ-EQUIP-002, RQ-EQUIP-003, RQ-LL-001, RQ-LL-002, RQ-LL-003, RQ-LL-004, RQ-LL-005, RQ-LL-006, RQ-LL-007, RQ-GATE-001, RQ-GATE-003, RQ-GATE-004, RQ-GATE-008, RQ-GATE-013</t>
        </is>
      </c>
    </row>
    <row r="61" ht="51.5" customHeight="1">
      <c r="A61" s="41" t="inlineStr">
        <is>
          <t>BE:E10</t>
        </is>
      </c>
      <c r="B61" s="41" t="inlineStr">
        <is>
          <t>점검 제출회차</t>
        </is>
      </c>
      <c r="C61" s="42">
        <f>SUMPRODUCT(--ISNUMBER(FIND(A61&amp;" ",'요구사항 추적표'!$V$5:$V$57)))</f>
        <v/>
      </c>
      <c r="D61" s="41" t="inlineStr">
        <is>
          <t>정상</t>
        </is>
      </c>
      <c r="E61" s="47" t="n"/>
      <c r="F61" s="47" t="n"/>
      <c r="G61" s="47" t="n"/>
      <c r="H61" s="41" t="inlineStr">
        <is>
          <t>RQ-EQUIP-003, RQ-LL-001, RQ-LL-002, RQ-LL-003, RQ-LL-004, RQ-LL-005, RQ-LL-006, RQ-LL-007, RQ-GATE-008, RQ-GATE-014, RQ-NOTIF-004</t>
        </is>
      </c>
    </row>
    <row r="62" ht="22.5" customHeight="1">
      <c r="A62" s="41" t="inlineStr">
        <is>
          <t>BE:E11</t>
        </is>
      </c>
      <c r="B62" s="41" t="inlineStr">
        <is>
          <t>점검 증빙연결</t>
        </is>
      </c>
      <c r="C62" s="42">
        <f>SUMPRODUCT(--ISNUMBER(FIND(A62&amp;" ",'요구사항 추적표'!$V$5:$V$57)))</f>
        <v/>
      </c>
      <c r="D62" s="41" t="inlineStr">
        <is>
          <t>정상</t>
        </is>
      </c>
      <c r="E62" s="47" t="n"/>
      <c r="F62" s="47" t="n"/>
      <c r="G62" s="47" t="n"/>
      <c r="H62" s="41" t="inlineStr">
        <is>
          <t>RQ-LL-002, RQ-LL-004</t>
        </is>
      </c>
    </row>
    <row r="63" ht="22.5" customHeight="1">
      <c r="A63" s="41" t="inlineStr">
        <is>
          <t>BE:E12</t>
        </is>
      </c>
      <c r="B63" s="41" t="inlineStr">
        <is>
          <t>점검 승인판정</t>
        </is>
      </c>
      <c r="C63" s="42">
        <f>SUMPRODUCT(--ISNUMBER(FIND(A63&amp;" ",'요구사항 추적표'!$V$5:$V$57)))</f>
        <v/>
      </c>
      <c r="D63" s="41" t="inlineStr">
        <is>
          <t>정상</t>
        </is>
      </c>
      <c r="E63" s="47" t="n"/>
      <c r="F63" s="47" t="n"/>
      <c r="G63" s="47" t="n"/>
      <c r="H63" s="41" t="inlineStr">
        <is>
          <t>RQ-AUTH-003, RQ-LL-004, RQ-LL-005, RQ-LL-006, RQ-GATE-014</t>
        </is>
      </c>
    </row>
    <row r="64" ht="51.5" customHeight="1">
      <c r="A64" s="41" t="inlineStr">
        <is>
          <t>BE:E13</t>
        </is>
      </c>
      <c r="B64" s="41" t="inlineStr">
        <is>
          <t>사양비교 개정</t>
        </is>
      </c>
      <c r="C64" s="42">
        <f>SUMPRODUCT(--ISNUMBER(FIND(A64&amp;" ",'요구사항 추적표'!$V$5:$V$57)))</f>
        <v/>
      </c>
      <c r="D64" s="41" t="inlineStr">
        <is>
          <t>정상</t>
        </is>
      </c>
      <c r="E64" s="47" t="n"/>
      <c r="F64" s="47" t="n"/>
      <c r="G64" s="47" t="n"/>
      <c r="H64" s="41" t="inlineStr">
        <is>
          <t>RQ-EQUIP-002, RQ-EQUIP-003, RQ-SPEC-001, RQ-SPEC-002, RQ-SPEC-003, RQ-SPEC-004, RQ-SPEC-005, RQ-SPEC-006, RQ-GATE-001, RQ-GATE-008, RQ-GATE-013, RQ-CONFIG-004</t>
        </is>
      </c>
    </row>
    <row r="65" ht="51.5" customHeight="1">
      <c r="A65" s="41" t="inlineStr">
        <is>
          <t>BE:E14</t>
        </is>
      </c>
      <c r="B65" s="41" t="inlineStr">
        <is>
          <t>사양비교 항목</t>
        </is>
      </c>
      <c r="C65" s="42">
        <f>SUMPRODUCT(--ISNUMBER(FIND(A65&amp;" ",'요구사항 추적표'!$V$5:$V$57)))</f>
        <v/>
      </c>
      <c r="D65" s="41" t="inlineStr">
        <is>
          <t>정상</t>
        </is>
      </c>
      <c r="E65" s="47" t="n"/>
      <c r="F65" s="47" t="n"/>
      <c r="G65" s="47" t="n"/>
      <c r="H65" s="41" t="inlineStr">
        <is>
          <t>RQ-EQUIP-002, RQ-EQUIP-003, RQ-LL-001, RQ-LL-007, RQ-SPEC-001, RQ-SPEC-002, RQ-SPEC-003, RQ-SPEC-004, RQ-SPEC-005, RQ-SPEC-006, RQ-GATE-003, RQ-GATE-004, RQ-GATE-008, RQ-GATE-013</t>
        </is>
      </c>
    </row>
    <row r="66" ht="51.5" customHeight="1">
      <c r="A66" s="41" t="inlineStr">
        <is>
          <t>BE:E15</t>
        </is>
      </c>
      <c r="B66" s="41" t="inlineStr">
        <is>
          <t>사양 해명회차</t>
        </is>
      </c>
      <c r="C66" s="42">
        <f>SUMPRODUCT(--ISNUMBER(FIND(A66&amp;" ",'요구사항 추적표'!$V$5:$V$57)))</f>
        <v/>
      </c>
      <c r="D66" s="41" t="inlineStr">
        <is>
          <t>정상</t>
        </is>
      </c>
      <c r="E66" s="47" t="n"/>
      <c r="F66" s="47" t="n"/>
      <c r="G66" s="47" t="n"/>
      <c r="H66" s="41" t="inlineStr">
        <is>
          <t>RQ-EQUIP-003, RQ-SPEC-001, RQ-SPEC-002, RQ-SPEC-003, RQ-SPEC-004, RQ-SPEC-005, RQ-GATE-008, RQ-GATE-013, RQ-GATE-014, RQ-NOTIF-004</t>
        </is>
      </c>
    </row>
    <row r="67" ht="22.5" customHeight="1">
      <c r="A67" s="41" t="inlineStr">
        <is>
          <t>BE:E16</t>
        </is>
      </c>
      <c r="B67" s="41" t="inlineStr">
        <is>
          <t>해명 첨부연결</t>
        </is>
      </c>
      <c r="C67" s="42">
        <f>SUMPRODUCT(--ISNUMBER(FIND(A67&amp;" ",'요구사항 추적표'!$V$5:$V$57)))</f>
        <v/>
      </c>
      <c r="D67" s="41" t="inlineStr">
        <is>
          <t>정상</t>
        </is>
      </c>
      <c r="E67" s="47" t="n"/>
      <c r="F67" s="47" t="n"/>
      <c r="G67" s="47" t="n"/>
      <c r="H67" s="41" t="inlineStr">
        <is>
          <t>RQ-SPEC-002, RQ-SPEC-003, RQ-SPEC-005</t>
        </is>
      </c>
    </row>
    <row r="68" ht="22.5" customHeight="1">
      <c r="A68" s="41" t="inlineStr">
        <is>
          <t>BE:E17</t>
        </is>
      </c>
      <c r="B68" s="41" t="inlineStr">
        <is>
          <t>해명 협의의견</t>
        </is>
      </c>
      <c r="C68" s="42">
        <f>SUMPRODUCT(--ISNUMBER(FIND(A68&amp;" ",'요구사항 추적표'!$V$5:$V$57)))</f>
        <v/>
      </c>
      <c r="D68" s="41" t="inlineStr">
        <is>
          <t>정상</t>
        </is>
      </c>
      <c r="E68" s="47" t="n"/>
      <c r="F68" s="47" t="n"/>
      <c r="G68" s="47" t="n"/>
      <c r="H68" s="41" t="inlineStr">
        <is>
          <t>RQ-SPEC-003, RQ-SPEC-004</t>
        </is>
      </c>
    </row>
    <row r="69" ht="37" customHeight="1">
      <c r="A69" s="41" t="inlineStr">
        <is>
          <t>BE:E18</t>
        </is>
      </c>
      <c r="B69" s="41" t="inlineStr">
        <is>
          <t>해명 품질판정</t>
        </is>
      </c>
      <c r="C69" s="42">
        <f>SUMPRODUCT(--ISNUMBER(FIND(A69&amp;" ",'요구사항 추적표'!$V$5:$V$57)))</f>
        <v/>
      </c>
      <c r="D69" s="41" t="inlineStr">
        <is>
          <t>정상</t>
        </is>
      </c>
      <c r="E69" s="47" t="n"/>
      <c r="F69" s="47" t="n"/>
      <c r="G69" s="47" t="n"/>
      <c r="H69" s="41" t="inlineStr">
        <is>
          <t>RQ-AUTH-003, RQ-SPEC-002, RQ-SPEC-003, RQ-SPEC-004, RQ-SPEC-006, RQ-GATE-004, RQ-GATE-014, RQ-NOTIF-004</t>
        </is>
      </c>
    </row>
    <row r="70" ht="124" customHeight="1">
      <c r="A70" s="41" t="inlineStr">
        <is>
          <t>BE:E19</t>
        </is>
      </c>
      <c r="B70" s="41" t="inlineStr">
        <is>
          <t>발주 통제판단</t>
        </is>
      </c>
      <c r="C70" s="42">
        <f>SUMPRODUCT(--ISNUMBER(FIND(A70&amp;" ",'요구사항 추적표'!$V$5:$V$57)))</f>
        <v/>
      </c>
      <c r="D70" s="41" t="inlineStr">
        <is>
          <t>정상</t>
        </is>
      </c>
      <c r="E70" s="47" t="n"/>
      <c r="F70" s="47" t="n"/>
      <c r="G70" s="47" t="n"/>
      <c r="H70" s="41" t="inlineStr">
        <is>
          <t>RQ-AUTH-004, RQ-DASH-001, RQ-DASH-002, RQ-DASH-003, RQ-DASH-004, RQ-DASH-005, RQ-DASH-006, RQ-EQUIP-001, RQ-EQUIP-002, RQ-SCORE-001, RQ-SCORE-003, RQ-LL-001, RQ-LL-005, RQ-LL-007, RQ-SPEC-001, RQ-SPEC-006, RQ-GATE-001, RQ-GATE-002, RQ-GATE-003, RQ-GATE-004, RQ-GATE-005, RQ-GATE-006, RQ-GATE-007, RQ-GATE-008, RQ-GATE-009, RQ-GATE-010, RQ-GATE-011, RQ-GATE-012, RQ-GATE-013, RQ-GATE-014, RQ-CONFIG-002, RQ-CONFIG-003, RQ-NOTIF-002, RQ-NOTIF-004, RQ-NOTIF-005</t>
        </is>
      </c>
    </row>
    <row r="71" ht="109.5" customHeight="1">
      <c r="A71" s="41" t="inlineStr">
        <is>
          <t>BE:E20</t>
        </is>
      </c>
      <c r="B71" s="41" t="inlineStr">
        <is>
          <t>발주 승인결정</t>
        </is>
      </c>
      <c r="C71" s="42">
        <f>SUMPRODUCT(--ISNUMBER(FIND(A71&amp;" ",'요구사항 추적표'!$V$5:$V$57)))</f>
        <v/>
      </c>
      <c r="D71" s="41" t="inlineStr">
        <is>
          <t>정상</t>
        </is>
      </c>
      <c r="E71" s="47" t="n"/>
      <c r="F71" s="47" t="n"/>
      <c r="G71" s="47" t="n"/>
      <c r="H71" s="41" t="inlineStr">
        <is>
          <t>RQ-AUTH-003, RQ-AUTH-004, RQ-DASH-001, RQ-DASH-002, RQ-DASH-003, RQ-DASH-004, RQ-DASH-005, RQ-DASH-006, RQ-EQUIP-001, RQ-EQUIP-002, RQ-SCORE-001, RQ-LL-001, RQ-LL-005, RQ-SPEC-001, RQ-GATE-001, RQ-GATE-002, RQ-GATE-003, RQ-GATE-004, RQ-GATE-005, RQ-GATE-006, RQ-GATE-007, RQ-GATE-009, RQ-GATE-010, RQ-GATE-011, RQ-GATE-012, RQ-GATE-013, RQ-GATE-014, RQ-CONFIG-002, RQ-CONFIG-003, RQ-NOTIF-002, RQ-NOTIF-004</t>
        </is>
      </c>
    </row>
    <row r="72" ht="37" customHeight="1">
      <c r="A72" s="41" t="inlineStr">
        <is>
          <t>BE:E21</t>
        </is>
      </c>
      <c r="B72" s="41" t="inlineStr">
        <is>
          <t>발주 예외조건</t>
        </is>
      </c>
      <c r="C72" s="42">
        <f>SUMPRODUCT(--ISNUMBER(FIND(A72&amp;" ",'요구사항 추적표'!$V$5:$V$57)))</f>
        <v/>
      </c>
      <c r="D72" s="41" t="inlineStr">
        <is>
          <t>정상</t>
        </is>
      </c>
      <c r="E72" s="47" t="n"/>
      <c r="F72" s="47" t="n"/>
      <c r="G72" s="47" t="n"/>
      <c r="H72" s="41" t="inlineStr">
        <is>
          <t>RQ-GATE-003, RQ-GATE-004, RQ-GATE-005, RQ-GATE-009, RQ-GATE-012, RQ-GATE-013</t>
        </is>
      </c>
    </row>
    <row r="73" ht="51.5" customHeight="1">
      <c r="A73" s="41" t="inlineStr">
        <is>
          <t>BE:E22</t>
        </is>
      </c>
      <c r="B73" s="41" t="inlineStr">
        <is>
          <t>첨부파일</t>
        </is>
      </c>
      <c r="C73" s="42">
        <f>SUMPRODUCT(--ISNUMBER(FIND(A73&amp;" ",'요구사항 추적표'!$V$5:$V$57)))</f>
        <v/>
      </c>
      <c r="D73" s="41" t="inlineStr">
        <is>
          <t>정상</t>
        </is>
      </c>
      <c r="E73" s="47" t="n"/>
      <c r="F73" s="47" t="n"/>
      <c r="G73" s="47" t="n"/>
      <c r="H73" s="41" t="inlineStr">
        <is>
          <t>RQ-AUTH-004, RQ-EQUIP-003, RQ-LL-001, RQ-LL-002, RQ-LL-003, RQ-LL-004, RQ-LL-005, RQ-LL-007, RQ-SPEC-001, RQ-SPEC-002, RQ-SPEC-003, RQ-GATE-008, RQ-GATE-009, RQ-GATE-014</t>
        </is>
      </c>
    </row>
    <row r="74" ht="37" customHeight="1">
      <c r="A74" s="41" t="inlineStr">
        <is>
          <t>BE:E23</t>
        </is>
      </c>
      <c r="B74" s="41" t="inlineStr">
        <is>
          <t>업무 알림</t>
        </is>
      </c>
      <c r="C74" s="42">
        <f>SUMPRODUCT(--ISNUMBER(FIND(A74&amp;" ",'요구사항 추적표'!$V$5:$V$57)))</f>
        <v/>
      </c>
      <c r="D74" s="41" t="inlineStr">
        <is>
          <t>정상</t>
        </is>
      </c>
      <c r="E74" s="47" t="n"/>
      <c r="F74" s="47" t="n"/>
      <c r="G74" s="47" t="n"/>
      <c r="H74" s="41" t="inlineStr">
        <is>
          <t>RQ-AUTH-004, RQ-GATE-012, RQ-NOTIF-001, RQ-NOTIF-002, RQ-NOTIF-004, RQ-NOTIF-005</t>
        </is>
      </c>
    </row>
    <row r="75" ht="51.5" customHeight="1">
      <c r="A75" s="41" t="inlineStr">
        <is>
          <t>BE:E24</t>
        </is>
      </c>
      <c r="B75" s="41" t="inlineStr">
        <is>
          <t>변경 감사이력</t>
        </is>
      </c>
      <c r="C75" s="42">
        <f>SUMPRODUCT(--ISNUMBER(FIND(A75&amp;" ",'요구사항 추적표'!$V$5:$V$57)))</f>
        <v/>
      </c>
      <c r="D75" s="41" t="inlineStr">
        <is>
          <t>정상</t>
        </is>
      </c>
      <c r="E75" s="47" t="n"/>
      <c r="F75" s="47" t="n"/>
      <c r="G75" s="47" t="n"/>
      <c r="H75" s="41" t="inlineStr">
        <is>
          <t>RQ-AUTH-001, RQ-AUTH-003, RQ-LL-002, RQ-LL-006, RQ-SPEC-004, RQ-GATE-003, RQ-GATE-004, RQ-GATE-010, RQ-GATE-012, RQ-GATE-014, RQ-CONFIG-001, RQ-CONFIG-002, RQ-NOTIF-004</t>
        </is>
      </c>
    </row>
    <row r="76" ht="22.5" customHeight="1">
      <c r="A76" s="41" t="inlineStr">
        <is>
          <t>BE:E25</t>
        </is>
      </c>
      <c r="B76" s="41" t="inlineStr">
        <is>
          <t>품질 참조이력</t>
        </is>
      </c>
      <c r="C76" s="42">
        <f>SUMPRODUCT(--ISNUMBER(FIND(A76&amp;" ",'요구사항 추적표'!$V$5:$V$57)))</f>
        <v/>
      </c>
      <c r="D76" s="41" t="inlineStr">
        <is>
          <t>정상</t>
        </is>
      </c>
      <c r="E76" s="47" t="n"/>
      <c r="F76" s="47" t="n"/>
      <c r="G76" s="47" t="n"/>
      <c r="H76" s="41" t="inlineStr">
        <is>
          <t>RQ-SCORE-002, RQ-CONFIG-004</t>
        </is>
      </c>
    </row>
    <row r="77" ht="22.5" customHeight="1">
      <c r="A77" s="41" t="inlineStr">
        <is>
          <t>BE:E26</t>
        </is>
      </c>
      <c r="B77" s="41" t="inlineStr">
        <is>
          <t>평가 참조연결</t>
        </is>
      </c>
      <c r="C77" s="42">
        <f>SUMPRODUCT(--ISNUMBER(FIND(A77&amp;" ",'요구사항 추적표'!$V$5:$V$57)))</f>
        <v/>
      </c>
      <c r="D77" s="41" t="inlineStr">
        <is>
          <t>정상</t>
        </is>
      </c>
      <c r="E77" s="47" t="n"/>
      <c r="F77" s="47" t="n"/>
      <c r="G77" s="47" t="n"/>
      <c r="H77" s="41" t="inlineStr">
        <is>
          <t>RQ-SCORE-002, RQ-CONFIG-004</t>
        </is>
      </c>
    </row>
    <row r="80">
      <c r="A80" s="39" t="inlineStr">
        <is>
          <t>4. 통합 결정번호별 영향 요구사항</t>
        </is>
      </c>
    </row>
    <row r="81">
      <c r="A81" s="40" t="inlineStr">
        <is>
          <t>결정번호</t>
        </is>
      </c>
      <c r="B81" s="40" t="inlineStr">
        <is>
          <t>주제</t>
        </is>
      </c>
      <c r="C81" s="40" t="inlineStr">
        <is>
          <t>영향 요구사항 수</t>
        </is>
      </c>
      <c r="D81" s="40" t="inlineStr"/>
      <c r="E81" s="40" t="inlineStr"/>
      <c r="F81" s="40" t="inlineStr"/>
      <c r="G81" s="40" t="inlineStr"/>
      <c r="H81" s="40" t="inlineStr">
        <is>
          <t>요구사항ID</t>
        </is>
      </c>
    </row>
    <row r="82" ht="37" customHeight="1">
      <c r="A82" s="41" t="inlineStr">
        <is>
          <t>DEC-01</t>
        </is>
      </c>
      <c r="B82" s="41" t="inlineStr">
        <is>
          <t>권한·담당범위·직무분리</t>
        </is>
      </c>
      <c r="C82" s="42">
        <f>SUMPRODUCT(--ISNUMBER(FIND(A82,'요구사항 추적표'!$W$5:$W$57)))</f>
        <v/>
      </c>
      <c r="D82" s="47" t="n"/>
      <c r="E82" s="47" t="n"/>
      <c r="F82" s="47" t="n"/>
      <c r="G82" s="47" t="n"/>
      <c r="H82" s="41" t="inlineStr">
        <is>
          <t>RQ-AUTH-001, RQ-AUTH-003, RQ-AUTH-004, RQ-DASH-001, RQ-LL-004, RQ-GATE-013, RQ-CONFIG-001</t>
        </is>
      </c>
    </row>
    <row r="83" ht="22.5" customHeight="1">
      <c r="A83" s="41" t="inlineStr">
        <is>
          <t>DEC-02</t>
        </is>
      </c>
      <c r="B83" s="41" t="inlineStr">
        <is>
          <t>실제 인증 방식</t>
        </is>
      </c>
      <c r="C83" s="42">
        <f>SUMPRODUCT(--ISNUMBER(FIND(A83,'요구사항 추적표'!$W$5:$W$57)))</f>
        <v/>
      </c>
      <c r="D83" s="47" t="n"/>
      <c r="E83" s="47" t="n"/>
      <c r="F83" s="47" t="n"/>
      <c r="G83" s="47" t="n"/>
      <c r="H83" s="41" t="inlineStr">
        <is>
          <t>RQ-AUTH-001, RQ-AUTH-002</t>
        </is>
      </c>
    </row>
    <row r="84" ht="22.5" customHeight="1">
      <c r="A84" s="41" t="inlineStr">
        <is>
          <t>DEC-03</t>
        </is>
      </c>
      <c r="B84" s="41" t="inlineStr">
        <is>
          <t>점검 완료 집계 기준</t>
        </is>
      </c>
      <c r="C84" s="42">
        <f>SUMPRODUCT(--ISNUMBER(FIND(A84,'요구사항 추적표'!$W$5:$W$57)))</f>
        <v/>
      </c>
      <c r="D84" s="47" t="n"/>
      <c r="E84" s="47" t="n"/>
      <c r="F84" s="47" t="n"/>
      <c r="G84" s="47" t="n"/>
      <c r="H84" s="41" t="inlineStr">
        <is>
          <t>RQ-DASH-002, RQ-DASH-003, RQ-DASH-006, RQ-LL-005, RQ-GATE-008</t>
        </is>
      </c>
    </row>
    <row r="85" ht="22.5" customHeight="1">
      <c r="A85" s="41" t="inlineStr">
        <is>
          <t>DEC-04</t>
        </is>
      </c>
      <c r="B85" s="41" t="inlineStr">
        <is>
          <t>위험 기한과 수신범위</t>
        </is>
      </c>
      <c r="C85" s="42">
        <f>SUMPRODUCT(--ISNUMBER(FIND(A85,'요구사항 추적표'!$W$5:$W$57)))</f>
        <v/>
      </c>
      <c r="D85" s="47" t="n"/>
      <c r="E85" s="47" t="n"/>
      <c r="F85" s="47" t="n"/>
      <c r="G85" s="47" t="n"/>
      <c r="H85" s="41" t="inlineStr">
        <is>
          <t>RQ-DASH-003, RQ-NOTIF-005</t>
        </is>
      </c>
    </row>
    <row r="86" ht="22.5" customHeight="1">
      <c r="A86" s="41" t="inlineStr">
        <is>
          <t>DEC-05</t>
        </is>
      </c>
      <c r="B86" s="41" t="inlineStr">
        <is>
          <t>알림 개념 이원화와 외부 발송</t>
        </is>
      </c>
      <c r="C86" s="42">
        <f>SUMPRODUCT(--ISNUMBER(FIND(A86,'요구사항 추적표'!$W$5:$W$57)))</f>
        <v/>
      </c>
      <c r="D86" s="47" t="n"/>
      <c r="E86" s="47" t="n"/>
      <c r="F86" s="47" t="n"/>
      <c r="G86" s="47" t="n"/>
      <c r="H86" s="41" t="inlineStr">
        <is>
          <t>RQ-NOTIF-001, RQ-NOTIF-002, RQ-NOTIF-004</t>
        </is>
      </c>
    </row>
    <row r="87" ht="22.5" customHeight="1">
      <c r="A87" s="41" t="inlineStr">
        <is>
          <t>DEC-06</t>
        </is>
      </c>
      <c r="B87" s="41" t="inlineStr">
        <is>
          <t>기자재 식별과 원천 개정</t>
        </is>
      </c>
      <c r="C87" s="42">
        <f>SUMPRODUCT(--ISNUMBER(FIND(A87,'요구사항 추적표'!$W$5:$W$57)))</f>
        <v/>
      </c>
      <c r="D87" s="47" t="n"/>
      <c r="E87" s="47" t="n"/>
      <c r="F87" s="47" t="n"/>
      <c r="G87" s="47" t="n"/>
      <c r="H87" s="41" t="inlineStr">
        <is>
          <t>RQ-EQUIP-001, RQ-EQUIP-002</t>
        </is>
      </c>
    </row>
    <row r="88" ht="22.5" customHeight="1">
      <c r="A88" s="41" t="inlineStr">
        <is>
          <t>DEC-07</t>
        </is>
      </c>
      <c r="B88" s="41" t="inlineStr">
        <is>
          <t>평가 공식·반올림·구성요소</t>
        </is>
      </c>
      <c r="C88" s="42">
        <f>SUMPRODUCT(--ISNUMBER(FIND(A88,'요구사항 추적표'!$W$5:$W$57)))</f>
        <v/>
      </c>
      <c r="D88" s="47" t="n"/>
      <c r="E88" s="47" t="n"/>
      <c r="F88" s="47" t="n"/>
      <c r="G88" s="47" t="n"/>
      <c r="H88" s="41" t="inlineStr">
        <is>
          <t>RQ-EQUIP-001, RQ-SCORE-001, RQ-SCORE-002, RQ-SCORE-004</t>
        </is>
      </c>
    </row>
    <row r="89" ht="22.5" customHeight="1">
      <c r="A89" s="41" t="inlineStr">
        <is>
          <t>DEC-08</t>
        </is>
      </c>
      <c r="B89" s="41" t="inlineStr">
        <is>
          <t>등재 기준과 통제 대상</t>
        </is>
      </c>
      <c r="C89" s="42">
        <f>SUMPRODUCT(--ISNUMBER(FIND(A89,'요구사항 추적표'!$W$5:$W$57)))</f>
        <v/>
      </c>
      <c r="D89" s="47" t="n"/>
      <c r="E89" s="47" t="n"/>
      <c r="F89" s="47" t="n"/>
      <c r="G89" s="47" t="n"/>
      <c r="H89" s="41" t="inlineStr">
        <is>
          <t>RQ-SCORE-003</t>
        </is>
      </c>
    </row>
    <row r="90" ht="22.5" customHeight="1">
      <c r="A90" s="41" t="inlineStr">
        <is>
          <t>DEC-09</t>
        </is>
      </c>
      <c r="B90" s="41" t="inlineStr">
        <is>
          <t>평가기준 설정 적용·복원·검증</t>
        </is>
      </c>
      <c r="C90" s="42">
        <f>SUMPRODUCT(--ISNUMBER(FIND(A90,'요구사항 추적표'!$W$5:$W$57)))</f>
        <v/>
      </c>
      <c r="D90" s="47" t="n"/>
      <c r="E90" s="47" t="n"/>
      <c r="F90" s="47" t="n"/>
      <c r="G90" s="47" t="n"/>
      <c r="H90" s="41" t="inlineStr">
        <is>
          <t>RQ-SCORE-004, RQ-CONFIG-001, RQ-CONFIG-002, RQ-CONFIG-003</t>
        </is>
      </c>
    </row>
    <row r="91" ht="22.5" customHeight="1">
      <c r="A91" s="41" t="inlineStr">
        <is>
          <t>DEC-10</t>
        </is>
      </c>
      <c r="B91" s="41" t="inlineStr">
        <is>
          <t>점검 적용·재제출·반려·승인 효력</t>
        </is>
      </c>
      <c r="C91" s="42">
        <f>SUMPRODUCT(--ISNUMBER(FIND(A91,'요구사항 추적표'!$W$5:$W$57)))</f>
        <v/>
      </c>
      <c r="D91" s="47" t="n"/>
      <c r="E91" s="47" t="n"/>
      <c r="F91" s="47" t="n"/>
      <c r="G91" s="47" t="n"/>
      <c r="H91" s="41" t="inlineStr">
        <is>
          <t>RQ-LL-001, RQ-LL-002, RQ-LL-004, RQ-LL-006</t>
        </is>
      </c>
    </row>
    <row r="92" ht="37" customHeight="1">
      <c r="A92" s="41" t="inlineStr">
        <is>
          <t>DEC-11</t>
        </is>
      </c>
      <c r="B92" s="41" t="inlineStr">
        <is>
          <t>사양 원천·비교항목 식별·해명 회차</t>
        </is>
      </c>
      <c r="C92" s="42">
        <f>SUMPRODUCT(--ISNUMBER(FIND(A92,'요구사항 추적표'!$W$5:$W$57)))</f>
        <v/>
      </c>
      <c r="D92" s="47" t="n"/>
      <c r="E92" s="47" t="n"/>
      <c r="F92" s="47" t="n"/>
      <c r="G92" s="47" t="n"/>
      <c r="H92" s="41" t="inlineStr">
        <is>
          <t>RQ-SPEC-001, RQ-SPEC-002, RQ-SPEC-003, RQ-SPEC-005</t>
        </is>
      </c>
    </row>
    <row r="93" ht="37" customHeight="1">
      <c r="A93" s="41" t="inlineStr">
        <is>
          <t>DEC-12</t>
        </is>
      </c>
      <c r="B93" s="41" t="inlineStr">
        <is>
          <t>해명 승인과 원 사양판정·주의(WARN) 효과</t>
        </is>
      </c>
      <c r="C93" s="42">
        <f>SUMPRODUCT(--ISNUMBER(FIND(A93,'요구사항 추적표'!$W$5:$W$57)))</f>
        <v/>
      </c>
      <c r="D93" s="47" t="n"/>
      <c r="E93" s="47" t="n"/>
      <c r="F93" s="47" t="n"/>
      <c r="G93" s="47" t="n"/>
      <c r="H93" s="41" t="inlineStr">
        <is>
          <t>RQ-SPEC-004, RQ-SPEC-006, RQ-GATE-004, RQ-GATE-013</t>
        </is>
      </c>
    </row>
    <row r="94" ht="37" customHeight="1">
      <c r="A94" s="41" t="inlineStr">
        <is>
          <t>DEC-13</t>
        </is>
      </c>
      <c r="B94" s="41" t="inlineStr">
        <is>
          <t>정상·조건부 발주 승인과 단일 통제 기준</t>
        </is>
      </c>
      <c r="C94" s="42">
        <f>SUMPRODUCT(--ISNUMBER(FIND(A94,'요구사항 추적표'!$W$5:$W$57)))</f>
        <v/>
      </c>
      <c r="D94" s="47" t="n"/>
      <c r="E94" s="47" t="n"/>
      <c r="F94" s="47" t="n"/>
      <c r="G94" s="47" t="n"/>
      <c r="H94" s="41" t="inlineStr">
        <is>
          <t>RQ-EQUIP-002, RQ-GATE-001, RQ-GATE-002, RQ-GATE-003, RQ-GATE-004, RQ-GATE-007, RQ-GATE-009</t>
        </is>
      </c>
    </row>
    <row r="95" ht="22.5" customHeight="1">
      <c r="A95" s="41" t="inlineStr">
        <is>
          <t>DEC-14</t>
        </is>
      </c>
      <c r="B95" s="41" t="inlineStr">
        <is>
          <t>첨부 업로드와 저장 성공</t>
        </is>
      </c>
      <c r="C95" s="42">
        <f>SUMPRODUCT(--ISNUMBER(FIND(A95,'요구사항 추적표'!$W$5:$W$57)))</f>
        <v/>
      </c>
      <c r="D95" s="47" t="n"/>
      <c r="E95" s="47" t="n"/>
      <c r="F95" s="47" t="n"/>
      <c r="G95" s="47" t="n"/>
      <c r="H95" s="41" t="inlineStr">
        <is>
          <t>RQ-LL-002, RQ-SPEC-002, RQ-SPEC-003</t>
        </is>
      </c>
    </row>
    <row r="96" ht="22.5" customHeight="1">
      <c r="A96" s="41" t="inlineStr">
        <is>
          <t>DEC-15</t>
        </is>
      </c>
      <c r="B96" s="41" t="inlineStr">
        <is>
          <t>외부 원천 연계와 알림 발송 채널</t>
        </is>
      </c>
      <c r="C96" s="42">
        <f>SUMPRODUCT(--ISNUMBER(FIND(A96,'요구사항 추적표'!$W$5:$W$57)))</f>
        <v/>
      </c>
      <c r="D96" s="47" t="n"/>
      <c r="E96" s="47" t="n"/>
      <c r="F96" s="47" t="n"/>
      <c r="G96" s="47" t="n"/>
      <c r="H96" s="41" t="inlineStr">
        <is>
          <t>RQ-GATE-012, RQ-CONFIG-004, RQ-NOTIF-004, RQ-NOTIF-005</t>
        </is>
      </c>
    </row>
    <row r="97" ht="22.5" customHeight="1">
      <c r="A97" s="41" t="inlineStr">
        <is>
          <t>DEC-16</t>
        </is>
      </c>
      <c r="B97" s="41" t="inlineStr">
        <is>
          <t>보관·물리설계·운영 규모</t>
        </is>
      </c>
      <c r="C97" s="42">
        <f>SUMPRODUCT(--ISNUMBER(FIND(A97,'요구사항 추적표'!$W$5:$W$57)))</f>
        <v/>
      </c>
      <c r="D97" s="47" t="n"/>
      <c r="E97" s="47" t="n"/>
      <c r="F97" s="47" t="n"/>
      <c r="G97" s="47" t="n"/>
      <c r="H97" s="41" t="inlineStr">
        <is>
          <t>RQ-GATE-014, RQ-CONFIG-004</t>
        </is>
      </c>
    </row>
    <row r="98" ht="22.5" customHeight="1">
      <c r="A98" s="41" t="inlineStr">
        <is>
          <t>DEC-17</t>
        </is>
      </c>
      <c r="B98" s="41" t="inlineStr">
        <is>
          <t>Gate 통제 위치(통제할 다음 행위)</t>
        </is>
      </c>
      <c r="C98" s="42">
        <f>SUMPRODUCT(--ISNUMBER(FIND(A98,'요구사항 추적표'!$W$5:$W$57)))</f>
        <v/>
      </c>
      <c r="D98" s="47" t="n"/>
      <c r="E98" s="47" t="n"/>
      <c r="F98" s="47" t="n"/>
      <c r="G98" s="47" t="n"/>
      <c r="H98" s="41" t="inlineStr">
        <is>
          <t>RQ-GATE-001, RQ-GATE-006</t>
        </is>
      </c>
    </row>
    <row r="99" ht="37" customHeight="1">
      <c r="A99" s="41" t="inlineStr">
        <is>
          <t>DEC-18</t>
        </is>
      </c>
      <c r="B99" s="41" t="inlineStr">
        <is>
          <t>Gate 통제 단위(기자재별 / 발주서별)</t>
        </is>
      </c>
      <c r="C99" s="42">
        <f>SUMPRODUCT(--ISNUMBER(FIND(A99,'요구사항 추적표'!$W$5:$W$57)))</f>
        <v/>
      </c>
      <c r="D99" s="47" t="n"/>
      <c r="E99" s="47" t="n"/>
      <c r="F99" s="47" t="n"/>
      <c r="G99" s="47" t="n"/>
      <c r="H99" s="41" t="inlineStr">
        <is>
          <t>RQ-GATE-011</t>
        </is>
      </c>
    </row>
    <row r="100" ht="22.5" customHeight="1">
      <c r="A100" s="41" t="inlineStr">
        <is>
          <t>DEC-19</t>
        </is>
      </c>
      <c r="B100" s="41" t="inlineStr">
        <is>
          <t>승인 후 변경과 재검토</t>
        </is>
      </c>
      <c r="C100" s="42">
        <f>SUMPRODUCT(--ISNUMBER(FIND(A100,'요구사항 추적표'!$W$5:$W$57)))</f>
        <v/>
      </c>
      <c r="D100" s="47" t="n"/>
      <c r="E100" s="47" t="n"/>
      <c r="F100" s="47" t="n"/>
      <c r="G100" s="47" t="n"/>
      <c r="H100" s="41" t="inlineStr">
        <is>
          <t>RQ-GATE-010</t>
        </is>
      </c>
    </row>
    <row r="101" ht="22.5" customHeight="1">
      <c r="A101" s="41" t="inlineStr">
        <is>
          <t>DEC-20</t>
        </is>
      </c>
      <c r="B101" s="41" t="inlineStr">
        <is>
          <t>승인 결과의 실제 업무 반영 방식</t>
        </is>
      </c>
      <c r="C101" s="42">
        <f>SUMPRODUCT(--ISNUMBER(FIND(A101,'요구사항 추적표'!$W$5:$W$57)))</f>
        <v/>
      </c>
      <c r="D101" s="47" t="n"/>
      <c r="E101" s="47" t="n"/>
      <c r="F101" s="47" t="n"/>
      <c r="G101" s="47" t="n"/>
      <c r="H101" s="41" t="inlineStr">
        <is>
          <t>RQ-GATE-001, RQ-GATE-003, RQ-GATE-012</t>
        </is>
      </c>
    </row>
    <row r="102" ht="37" customHeight="1">
      <c r="A102" s="41" t="inlineStr">
        <is>
          <t>DEC-21</t>
        </is>
      </c>
      <c r="B102" s="41" t="inlineStr">
        <is>
          <t>점검항목별 증빙 제출 시점과 Gate 필수 여부</t>
        </is>
      </c>
      <c r="C102" s="42">
        <f>SUMPRODUCT(--ISNUMBER(FIND(A102,'요구사항 추적표'!$W$5:$W$57)))</f>
        <v/>
      </c>
      <c r="D102" s="47" t="n"/>
      <c r="E102" s="47" t="n"/>
      <c r="F102" s="47" t="n"/>
      <c r="G102" s="47" t="n"/>
      <c r="H102" s="41" t="inlineStr">
        <is>
          <t>RQ-LL-001, RQ-LL-007, RQ-GATE-008</t>
        </is>
      </c>
    </row>
    <row r="103" ht="22.5" customHeight="1">
      <c r="A103" s="41" t="inlineStr">
        <is>
          <t>DEC-22</t>
        </is>
      </c>
      <c r="B103" s="41" t="inlineStr">
        <is>
          <t>Gate 적용 대상</t>
        </is>
      </c>
      <c r="C103" s="42">
        <f>SUMPRODUCT(--ISNUMBER(FIND(A103,'요구사항 추적표'!$W$5:$W$57)))</f>
        <v/>
      </c>
      <c r="D103" s="47" t="n"/>
      <c r="E103" s="47" t="n"/>
      <c r="F103" s="47" t="n"/>
      <c r="G103" s="47" t="n"/>
      <c r="H103" s="41" t="inlineStr">
        <is>
          <t>RQ-GATE-002, RQ-GATE-007</t>
        </is>
      </c>
    </row>
    <row r="104" ht="37" customHeight="1">
      <c r="A104" s="41" t="inlineStr">
        <is>
          <t>DEC-23</t>
        </is>
      </c>
      <c r="B104" s="41" t="inlineStr">
        <is>
          <t>조건부 통과 허용 범위와 잔여조건 추적</t>
        </is>
      </c>
      <c r="C104" s="42">
        <f>SUMPRODUCT(--ISNUMBER(FIND(A104,'요구사항 추적표'!$W$5:$W$57)))</f>
        <v/>
      </c>
      <c r="D104" s="47" t="n"/>
      <c r="E104" s="47" t="n"/>
      <c r="F104" s="47" t="n"/>
      <c r="G104" s="47" t="n"/>
      <c r="H104" s="41" t="inlineStr">
        <is>
          <t>RQ-DASH-006, RQ-GATE-004, RQ-GATE-009</t>
        </is>
      </c>
    </row>
    <row r="105" ht="22.5" customHeight="1">
      <c r="A105" s="41" t="inlineStr">
        <is>
          <t>DEC-24</t>
        </is>
      </c>
      <c r="B105" s="41" t="inlineStr">
        <is>
          <t>판단 단계별 승인권한</t>
        </is>
      </c>
      <c r="C105" s="42">
        <f>SUMPRODUCT(--ISNUMBER(FIND(A105,'요구사항 추적표'!$W$5:$W$57)))</f>
        <v/>
      </c>
      <c r="D105" s="47" t="n"/>
      <c r="E105" s="47" t="n"/>
      <c r="F105" s="47" t="n"/>
      <c r="G105" s="47" t="n"/>
      <c r="H105" s="41" t="inlineStr">
        <is>
          <t>RQ-GATE-006, RQ-GATE-009, RQ-GATE-012, RQ-GATE-013</t>
        </is>
      </c>
    </row>
  </sheetData>
  <mergeCells count="1">
    <mergeCell ref="A2:H2"/>
  </mergeCells>
  <pageMargins left="0.75" right="0.75" top="1" bottom="1" header="0.5" footer="0.5"/>
</worksheet>
</file>

<file path=xl/worksheets/sheet6.xml><?xml version="1.0" encoding="utf-8"?>
<worksheet xmlns="http://schemas.openxmlformats.org/spreadsheetml/2006/main">
  <sheetPr>
    <outlinePr summaryBelow="1" summaryRight="1"/>
    <pageSetUpPr fitToPage="1"/>
  </sheetPr>
  <dimension ref="B1:F25"/>
  <sheetViews>
    <sheetView showGridLines="0" workbookViewId="0">
      <selection activeCell="A1" sqref="A1"/>
    </sheetView>
  </sheetViews>
  <sheetFormatPr baseColWidth="8" defaultRowHeight="15"/>
  <cols>
    <col width="3" customWidth="1" min="1" max="1"/>
    <col width="6" customWidth="1" min="2" max="2"/>
    <col width="24" customWidth="1" min="3" max="3"/>
    <col width="66" customWidth="1" min="4" max="4"/>
    <col width="28" customWidth="1" min="5" max="5"/>
    <col width="8" customWidth="1" min="6" max="6"/>
  </cols>
  <sheetData>
    <row r="1">
      <c r="B1" s="28" t="inlineStr">
        <is>
          <t># 항목 설명</t>
        </is>
      </c>
    </row>
    <row r="2" ht="22" customHeight="1">
      <c r="B2" s="8" t="inlineStr">
        <is>
          <t>No</t>
        </is>
      </c>
      <c r="C2" s="8" t="inlineStr">
        <is>
          <t>항목명</t>
        </is>
      </c>
      <c r="D2" s="8" t="inlineStr">
        <is>
          <t>항 목 설 명</t>
        </is>
      </c>
      <c r="E2" s="8" t="inlineStr">
        <is>
          <t>예제</t>
        </is>
      </c>
      <c r="F2" s="8" t="inlineStr">
        <is>
          <t>필수</t>
        </is>
      </c>
    </row>
    <row r="3" ht="18" customHeight="1">
      <c r="B3" s="9" t="n">
        <v>1</v>
      </c>
      <c r="C3" s="29" t="inlineStr">
        <is>
          <t>[요구사항] No</t>
        </is>
      </c>
      <c r="D3" s="10" t="inlineStr">
        <is>
          <t>추적표 내 일련번호를 기재한다.</t>
        </is>
      </c>
      <c r="E3" s="10" t="inlineStr">
        <is>
          <t>1</t>
        </is>
      </c>
      <c r="F3" s="9" t="inlineStr">
        <is>
          <t>필수</t>
        </is>
      </c>
    </row>
    <row r="4" ht="18" customHeight="1">
      <c r="B4" s="9" t="n">
        <v>2</v>
      </c>
      <c r="C4" s="29" t="inlineStr">
        <is>
          <t>[요구사항] 대 / 중 / 소분류</t>
        </is>
      </c>
      <c r="D4" s="10" t="inlineStr">
        <is>
          <t>요구사항 정의서의 대·중·소분류를 그대로 옮긴다.</t>
        </is>
      </c>
      <c r="E4" s="10" t="inlineStr">
        <is>
          <t>콜센터 / 상담이력 / 조회</t>
        </is>
      </c>
      <c r="F4" s="9" t="inlineStr">
        <is>
          <t>필수</t>
        </is>
      </c>
    </row>
    <row r="5" ht="18" customHeight="1">
      <c r="B5" s="9" t="n">
        <v>3</v>
      </c>
      <c r="C5" s="29" t="inlineStr">
        <is>
          <t>[요구사항] 요구사항ID · 요구사항명</t>
        </is>
      </c>
      <c r="D5" s="10" t="inlineStr">
        <is>
          <t>요구사항 정의서의 요구사항ID·명을 그대로 옮긴다. **ID는 정의서와 반드시 일치**시킨다.</t>
        </is>
      </c>
      <c r="E5" s="10" t="inlineStr">
        <is>
          <t>RQ_CC_001 / 상담이력 조회</t>
        </is>
      </c>
      <c r="F5" s="9" t="inlineStr">
        <is>
          <t>필수</t>
        </is>
      </c>
    </row>
    <row r="6" ht="18" customHeight="1">
      <c r="B6" s="9" t="n">
        <v>4</v>
      </c>
      <c r="C6" s="29" t="inlineStr">
        <is>
          <t>[요구사항] 적용여부</t>
        </is>
      </c>
      <c r="D6" s="10" t="inlineStr">
        <is>
          <t>해당 요구사항의 시스템 반영 여부를 Y / N / N/A 로 기재한다.</t>
        </is>
      </c>
      <c r="E6" s="10" t="inlineStr">
        <is>
          <t>Y</t>
        </is>
      </c>
      <c r="F6" s="9" t="inlineStr">
        <is>
          <t>필수</t>
        </is>
      </c>
    </row>
    <row r="7" ht="18" customHeight="1">
      <c r="B7" s="9" t="n">
        <v>5</v>
      </c>
      <c r="C7" s="29" t="inlineStr">
        <is>
          <t>[요구사항] 프로세스ID · 프로세스명</t>
        </is>
      </c>
      <c r="D7" s="10" t="inlineStr">
        <is>
          <t>프로세스 정의서의 프로세스ID·명을 기재한다.</t>
        </is>
      </c>
      <c r="E7" s="10" t="inlineStr">
        <is>
          <t>PRC-CC-010 / 상담이력 조회</t>
        </is>
      </c>
      <c r="F7" s="9" t="inlineStr">
        <is>
          <t>해당 시</t>
        </is>
      </c>
    </row>
    <row r="8" ht="18" customHeight="1">
      <c r="B8" s="9" t="n">
        <v>6</v>
      </c>
      <c r="C8" s="29" t="inlineStr">
        <is>
          <t>[설계] 화면ID · 화면명</t>
        </is>
      </c>
      <c r="D8" s="10" t="inlineStr">
        <is>
          <t>**프로그램 설계서 › 프로그램설계목록**의 연관정보 `화면ID` 와 프로그램명을 옮긴다. 본 프로젝트는 화면 목록·화면 설계서를 디지털 목업으로 대체하므로 프로그램설계목록이 화면ID의 단일 출처다.</t>
        </is>
      </c>
      <c r="E8" s="10" t="inlineStr">
        <is>
          <t>MRO-DSH-010-M1 / 상담이력 조회 화면</t>
        </is>
      </c>
      <c r="F8" s="9" t="inlineStr">
        <is>
          <t>해당 시</t>
        </is>
      </c>
    </row>
    <row r="9" ht="18" customHeight="1">
      <c r="B9" s="9" t="n">
        <v>7</v>
      </c>
      <c r="C9" s="29" t="inlineStr">
        <is>
          <t>[설계] 배치프로그램ID · 배치프로그램명</t>
        </is>
      </c>
      <c r="D9" s="10" t="inlineStr">
        <is>
          <t>프로그램 설계서 › 프로그램설계목록의 연관정보 `배치프로그램ID` 를 옮긴다.</t>
        </is>
      </c>
      <c r="E9" s="10" t="inlineStr">
        <is>
          <t>MRO-BAT-010-B1 / 상담이력 집계</t>
        </is>
      </c>
      <c r="F9" s="9" t="inlineStr">
        <is>
          <t>해당 시</t>
        </is>
      </c>
    </row>
    <row r="10" ht="18" customHeight="1">
      <c r="B10" s="9" t="n">
        <v>8</v>
      </c>
      <c r="C10" s="29" t="inlineStr">
        <is>
          <t>[설계] 인터페이스ID · 인터페이스명</t>
        </is>
      </c>
      <c r="D10" s="10" t="inlineStr">
        <is>
          <t>인터페이스 설계서의 인터페이스ID·명을 기재한다.</t>
        </is>
      </c>
      <c r="E10" s="10" t="inlineStr">
        <is>
          <t>IF-CC-20-05 / 상담이력 수신</t>
        </is>
      </c>
      <c r="F10" s="9" t="inlineStr">
        <is>
          <t>해당 시</t>
        </is>
      </c>
    </row>
    <row r="11" ht="18" customHeight="1">
      <c r="B11" s="9" t="n">
        <v>9</v>
      </c>
      <c r="C11" s="29" t="inlineStr">
        <is>
          <t>[설계] 테이블ID</t>
        </is>
      </c>
      <c r="D11" s="10" t="inlineStr">
        <is>
          <t>해당 요구사항이 생성·변경하는 주 테이블ID를 기재한다. **테이블 정의서 › 테이블목록**의 테이블ID와 일치시킨다. 복수는 쉼표로 구분한다.</t>
        </is>
      </c>
      <c r="E11" s="10" t="inlineStr">
        <is>
          <t>TB_CC_HIST</t>
        </is>
      </c>
      <c r="F11" s="9" t="inlineStr">
        <is>
          <t>해당 시</t>
        </is>
      </c>
    </row>
    <row r="12" ht="18" customHeight="1">
      <c r="B12" s="9" t="n">
        <v>10</v>
      </c>
      <c r="C12" s="29" t="inlineStr">
        <is>
          <t>[개발] 단위테스트케이스ID · 케이스명</t>
        </is>
      </c>
      <c r="D12" s="10" t="inlineStr">
        <is>
          <t>**단위테스트 결과 보고서 › 단위테스트결과서**의 `단위테스트 케이스ID`·케이스명을 그대로 옮긴다.</t>
        </is>
      </c>
      <c r="E12" s="10" t="inlineStr">
        <is>
          <t>UT-CC-001 / 상담이력 조회 정상</t>
        </is>
      </c>
      <c r="F12" s="9" t="inlineStr">
        <is>
          <t>해당 시</t>
        </is>
      </c>
    </row>
    <row r="13" ht="18" customHeight="1">
      <c r="B13" s="9" t="n">
        <v>11</v>
      </c>
      <c r="C13" s="29" t="inlineStr">
        <is>
          <t>[테스트] 통합테스트케이스ID · 케이스명</t>
        </is>
      </c>
      <c r="D13" s="10" t="inlineStr">
        <is>
          <t>**통합테스트 시나리오**의 `통합테스트 케이스ID`·케이스명을 그대로 옮긴다. 통합테스트 결과 보고서도 같은 ID를 쓴다.</t>
        </is>
      </c>
      <c r="E13" s="10" t="inlineStr">
        <is>
          <t>TEST0001_TC01 / 상담이력 조회 정상</t>
        </is>
      </c>
      <c r="F13" s="9" t="inlineStr">
        <is>
          <t>해당 시</t>
        </is>
      </c>
    </row>
    <row r="15">
      <c r="B15" s="28" t="inlineStr">
        <is>
          <t># 작성 규칙</t>
        </is>
      </c>
    </row>
    <row r="16" ht="17.5" customHeight="1">
      <c r="B16" s="30" t="inlineStr">
        <is>
          <t>※ 헤더는 2단 구성이다. 1단 = 요구사항 / 설계 / 개발 / 테스트, 2단 = 세부 항목.</t>
        </is>
      </c>
    </row>
    <row r="17" ht="17.5" customHeight="1">
      <c r="B17" s="30" t="inlineStr">
        <is>
          <t>※ 해당 사항이 없는 칸은 공란으로 두지 않고 "N/A" 로 기재한다.</t>
        </is>
      </c>
    </row>
    <row r="18" ht="17.5" customHeight="1">
      <c r="B18" s="30" t="inlineStr">
        <is>
          <t>※ 단계별로 갱신한다 — 분석 시 요구사항·프로세스, 설계 시 화면·배치·인터페이스·테이블, 개발 시 단위테스트, 테스트 시 통합테스트 항목을 채운다.</t>
        </is>
      </c>
    </row>
    <row r="19" ht="17.5" customHeight="1">
      <c r="B19" s="30" t="inlineStr">
        <is>
          <t>※ 제출 시 파일명 단계코드(CM)를 해당 단계(AN / DS / DV / TS)로 변경한다.</t>
        </is>
      </c>
    </row>
    <row r="20" ht="31" customHeight="1">
      <c r="B20" s="30" t="inlineStr">
        <is>
          <t>※ 【ID 출처 대응표】 요구사항ID→요구사항 정의서 / 프로세스ID→프로세스 정의서 / 화면ID·배치프로그램ID→프로그램 설계서(프로그램설계목록) / 인터페이스ID→인터페이스 설계서 / 테이블ID→테이블 정의서 / 단위테스트 케이스ID→단위테스트 결과 보고서 / 통합테스트 케이스ID→통합테스트 시나리오·결과 보고서.</t>
        </is>
      </c>
    </row>
    <row r="21" ht="17.5" customHeight="1">
      <c r="B21" s="30" t="inlineStr">
        <is>
          <t>※ 데이터 행은 30행만 사전 생성했다. 부족하면 마지막 행을 복사해 늘린다.</t>
        </is>
      </c>
    </row>
    <row r="22" ht="52" customHeight="1">
      <c r="B22" s="30" t="inlineStr">
        <is>
          <t>※ 【프로젝트 적용 1】 프로세스 정의서와 프로그램 설계서가 아직 없으므로, 프로세스ID(PRC-PQG-nnn)와 화면ID(PQG-화면군-nnn-M1/P1)는 목업과 설명 보고서 기준 잠정 ID로 부여했다. M1은 기본 화면·영역, P1은 팝업 창이다. 서버 공통 처리만 있는 요구사항은 화면ID를 N/A로 둔다.</t>
        </is>
      </c>
    </row>
    <row r="23" ht="52" customHeight="1">
      <c r="B23" s="30" t="inlineStr">
        <is>
          <t>※ 【프로젝트 적용 2】 "미정"은 해당 항목이 필요할 가능성이 있으나 설계 문서가 없거나 업무 결정(DEC) 전인 경우이며, 이름 칸에 후보명과 결정번호를 적었다. "미작성"은 해당 단계(개발·테스트)가 도래하지 않은 경우이다. "N/A"는 해당 없음이다.</t>
        </is>
      </c>
    </row>
    <row r="24" ht="52" customHeight="1">
      <c r="B24" s="30" t="inlineStr">
        <is>
          <t>※ 【프로젝트 적용 3】 추가 열 U~Z: U=화면 논리 개체(프런트엔드 데이터 모델 정의서 v0.3의 FE-Exx), V=서버 논리 개체(백엔드 데이터 모델 정의서 v0.1의 BE:Exx와, FE 개체의 대응 백엔드 개체·"BE 신설 요청"), W=통합 결정번호(DEC), X=확정 여부, Y=구현 영역(화면, 서버, 화면+서버), Z=기존 요구사항ID(FE-, BE-). 테이블ID(P열)는 테이블 정의서 작성 후 V열 개체에 대응하는 테이블로 채운다.</t>
        </is>
      </c>
    </row>
    <row r="25" ht="52" customHeight="1">
      <c r="B25" s="30" t="inlineStr">
        <is>
          <t>※ 【프로젝트 적용 4】 요구사항ID는 통합 요구사항 정의서 v0.6(soft2preqcgate1_요구사항정의서_20261001_1133.xlsx)의 RQ- ID와 일치시킨다. 프런트엔드 48건과 백엔드 31건이 53건으로 통합되었으며, 원천 ID는 Z열에서 추적한다.</t>
        </is>
      </c>
    </row>
  </sheetData>
  <mergeCells count="10">
    <mergeCell ref="B21:F21"/>
    <mergeCell ref="B24:F24"/>
    <mergeCell ref="B16:F16"/>
    <mergeCell ref="B20:F20"/>
    <mergeCell ref="B25:F25"/>
    <mergeCell ref="B19:F19"/>
    <mergeCell ref="B23:F23"/>
    <mergeCell ref="B22:F22"/>
    <mergeCell ref="B17:F17"/>
    <mergeCell ref="B18:F18"/>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2026-09-17T04:46:48Z</dcterms:created>
  <dcterms:modified xmlns:dcterms="http://purl.org/dc/terms/" xmlns:xsi="http://www.w3.org/2001/XMLSchema-instance" xsi:type="dcterms:W3CDTF">2026-10-01T02:35:06Z</dcterms:modified>
</cp:coreProperties>
</file>